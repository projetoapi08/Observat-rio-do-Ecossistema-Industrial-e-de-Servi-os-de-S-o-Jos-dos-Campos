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erguntas" sheetId="2" state="visible" r:id="rId4"/>
    <sheet name="Serie_PIB" sheetId="3" state="visible" r:id="rId5"/>
    <sheet name="Estrutura_Setorial" sheetId="4" state="visible" r:id="rId6"/>
    <sheet name="Participacao_Regional" sheetId="5" state="visible" r:id="rId7"/>
    <sheet name="Cruzamento_RAIS" sheetId="6" state="visible" r:id="rId8"/>
    <sheet name="Deflator_IPCA" sheetId="7" state="visible" r:id="rId9"/>
    <sheet name="Conferencia" sheetId="8" state="visible" r:id="rId10"/>
    <sheet name="Problemas_Dados" sheetId="9" state="visible" r:id="rId11"/>
    <sheet name="Dicionario" sheetId="10" state="visible" r:id="rId12"/>
    <sheet name="Glossario" sheetId="11" state="visible" r:id="rId13"/>
    <sheet name="Sugestoes" sheetId="12" state="visible" r:id="rId14"/>
    <sheet name="dSetor_CNAE_IBGE" sheetId="13" state="visible" r:id="rId15"/>
    <sheet name="fato_PIB" sheetId="14" state="visible" r:id="rId16"/>
    <sheet name="fato_VAB_setorial" sheetId="15" state="visible" r:id="rId17"/>
    <sheet name="dIPCA" sheetId="16" state="visible" r:id="rId18"/>
    <sheet name="dPopulacao" sheetId="17" state="visible" r:id="rId19"/>
    <sheet name="fato_Participacoes" sheetId="18" state="visible" r:id="rId20"/>
    <sheet name="Indicadores_Colab" sheetId="19" state="visible" r:id="rId21"/>
    <sheet name="log_tratamento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<sst xmlns="http://schemas.openxmlformats.org/spreadsheetml/2006/main" count="1102" uniqueCount="572">
  <si>
    <t xml:space="preserve">Observatório SJC – PIB dos Municípios (IBGE)</t>
  </si>
  <si>
    <t xml:space="preserve">São José dos Campos (código IBGE 3549904). Dados tratados no Colab e conferidos nesta planilha.</t>
  </si>
  <si>
    <t xml:space="preserve">Números principais</t>
  </si>
  <si>
    <t xml:space="preserve">Último ano com PIB</t>
  </si>
  <si>
    <t xml:space="preserve">PIB a preços correntes (R$ bilhões)</t>
  </si>
  <si>
    <t xml:space="preserve">PIB per capita (R$)</t>
  </si>
  <si>
    <t xml:space="preserve">Crescimento deflacionado no último ano</t>
  </si>
  <si>
    <t xml:space="preserve">Crescimento médio anual 2002–último ano (deflacionado)</t>
  </si>
  <si>
    <t xml:space="preserve">Participação no PIB do estado de SP</t>
  </si>
  <si>
    <t xml:space="preserve">Último ano com detalhamento por setor</t>
  </si>
  <si>
    <t xml:space="preserve">Participação da indústria no VAB (último ano com setor)</t>
  </si>
  <si>
    <t xml:space="preserve">Como usar</t>
  </si>
  <si>
    <t xml:space="preserve">• Comece pela aba Perguntas: cada linha responde a uma pergunta do cliente com o número calculado e diz onde ver o detalhe.</t>
  </si>
  <si>
    <t xml:space="preserve">• As abas de análise (Serie_PIB, Estrutura_Setorial, Participacao_Regional, Cruzamento_RAIS) são fórmulas sobre as abas de dados.</t>
  </si>
  <si>
    <t xml:space="preserve">• As abas de dados (fato_PIB, fato_VAB_setorial, dIPCA, dPopulacao, fato_Participacoes) são os CSVs do Colab sem alteração.</t>
  </si>
  <si>
    <t xml:space="preserve">• Antes de citar um número, veja a aba Problemas_Dados: ela diz o que não é comparável entre anos.</t>
  </si>
  <si>
    <t xml:space="preserve">• Valores 'R$ 2023' = valores corrigidos pelo IPCA para preços de 2023, para comparar anos diferentes.</t>
  </si>
  <si>
    <t xml:space="preserve">Abas</t>
  </si>
  <si>
    <t xml:space="preserve">Aba</t>
  </si>
  <si>
    <t xml:space="preserve">O que contém</t>
  </si>
  <si>
    <t xml:space="preserve">Perguntas</t>
  </si>
  <si>
    <t xml:space="preserve">15 perguntas que os dados respondem, com resposta calculada, cuidado e visual sugerido.</t>
  </si>
  <si>
    <t xml:space="preserve">Serie_PIB</t>
  </si>
  <si>
    <t xml:space="preserve">PIB, crescimento, índice 2010=100, população e PIB per capita de 2002 a 2023, com gráficos.</t>
  </si>
  <si>
    <t xml:space="preserve">Estrutura_Setorial</t>
  </si>
  <si>
    <t xml:space="preserve">Peso da agropecuária, indústria, serviços e adm. pública no valor adicionado (2002–2021).</t>
  </si>
  <si>
    <t xml:space="preserve">Participacao_Regional</t>
  </si>
  <si>
    <t xml:space="preserve">Peso de SJC no PIB da microrregião, mesorregião, estado, Sudeste e Brasil.</t>
  </si>
  <si>
    <t xml:space="preserve">Cruzamento_RAIS</t>
  </si>
  <si>
    <t xml:space="preserve">Emprego formal (RAIS 2024) x valor adicionado (PIB) por setor.</t>
  </si>
  <si>
    <t xml:space="preserve">Deflator_IPCA</t>
  </si>
  <si>
    <t xml:space="preserve">Como os valores foram corrigidos para R$ de 2023, recalculado e conferido.</t>
  </si>
  <si>
    <t xml:space="preserve">Conferencia</t>
  </si>
  <si>
    <t xml:space="preserve">Recalcula os indicadores do Colab e mostra a diferença (deve ser zero ou arredondamento).</t>
  </si>
  <si>
    <t xml:space="preserve">Problemas_Dados</t>
  </si>
  <si>
    <t xml:space="preserve">Limitações e quebras de série encontradas, com o tratamento sugerido.</t>
  </si>
  <si>
    <t xml:space="preserve">Dicionario</t>
  </si>
  <si>
    <t xml:space="preserve">Significado e unidade de cada coluna de cada CSV.</t>
  </si>
  <si>
    <t xml:space="preserve">Glossario</t>
  </si>
  <si>
    <t xml:space="preserve">PIB, VAB, deflacionar, per capita, CAGR e outros termos, em linguagem simples.</t>
  </si>
  <si>
    <t xml:space="preserve">Sugestoes</t>
  </si>
  <si>
    <t xml:space="preserve">Modelo para o Power BI, medidas, páginas e padrões de legenda.</t>
  </si>
  <si>
    <t xml:space="preserve">dSetor_CNAE_IBGE</t>
  </si>
  <si>
    <t xml:space="preserve">Ponte entre as seções da CNAE (RAIS) e os 4 setores do PIB.</t>
  </si>
  <si>
    <t xml:space="preserve">fato_PIB … log_tratamento</t>
  </si>
  <si>
    <t xml:space="preserve">Os CSVs do Colab, como vieram.</t>
  </si>
  <si>
    <t xml:space="preserve">Fontes</t>
  </si>
  <si>
    <t xml:space="preserve">• IBGE – PIB dos Municípios, SIDRA tabela 5938 (PIB, VAB por setor, impostos e participações).</t>
  </si>
  <si>
    <t xml:space="preserve">• IBGE – IPCA, SIDRA tabela 1737 (variação acumulada em 12 meses, dezembro).</t>
  </si>
  <si>
    <t xml:space="preserve">• IBGE – Estimativas da População (tab. 6579), Contagem 2007 (tab. 793), Censos 2010 (tab. 1378) e 2022 (tab. 4709).</t>
  </si>
  <si>
    <t xml:space="preserve">• MTE – RAIS 2024, via CNAE_RAIS_SJC_2024.xlsx (só na aba Cruzamento_RAIS).</t>
  </si>
  <si>
    <t xml:space="preserve">Perguntas que os dados do IBGE respondem</t>
  </si>
  <si>
    <t xml:space="preserve">Resposta calculada por fórmula. 'Cuidado' diz o que dizer junto com o número.</t>
  </si>
  <si>
    <t xml:space="preserve">Nº</t>
  </si>
  <si>
    <t xml:space="preserve">Pergunta</t>
  </si>
  <si>
    <t xml:space="preserve">Resposta</t>
  </si>
  <si>
    <t xml:space="preserve">Unidade</t>
  </si>
  <si>
    <t xml:space="preserve">Complemento</t>
  </si>
  <si>
    <t xml:space="preserve">Valor do complemento</t>
  </si>
  <si>
    <t xml:space="preserve">Cuidado ao usar</t>
  </si>
  <si>
    <t xml:space="preserve">Onde ver</t>
  </si>
  <si>
    <t xml:space="preserve">Visual sugerido no Power BI</t>
  </si>
  <si>
    <t xml:space="preserve">Quanto São José dos Campos produziu no último ano?</t>
  </si>
  <si>
    <t xml:space="preserve">R$ bilhões</t>
  </si>
  <si>
    <t xml:space="preserve">Ano</t>
  </si>
  <si>
    <t xml:space="preserve">Valor nominal (do próprio ano).</t>
  </si>
  <si>
    <t xml:space="preserve">Cartão de KPI</t>
  </si>
  <si>
    <t xml:space="preserve">Quanto isso dá por habitante?</t>
  </si>
  <si>
    <t xml:space="preserve">R$ por pessoa</t>
  </si>
  <si>
    <t xml:space="preserve">A população de 2023 é interpolada.</t>
  </si>
  <si>
    <t xml:space="preserve">A economia cresceu de verdade nos últimos 20 anos?</t>
  </si>
  <si>
    <t xml:space="preserve">% ao ano (2002 até o último ano)</t>
  </si>
  <si>
    <t xml:space="preserve">PIB em R$ 2023 no 1º ano (R$ bi)</t>
  </si>
  <si>
    <t xml:space="preserve">Descontada a inflação (IPCA). Não é o 'PIB real' oficial do IBGE.</t>
  </si>
  <si>
    <t xml:space="preserve">Linha do PIB em R$ 2023</t>
  </si>
  <si>
    <t xml:space="preserve">E na última década?</t>
  </si>
  <si>
    <t xml:space="preserve">% ao ano (2013 até o último ano)</t>
  </si>
  <si>
    <t xml:space="preserve">Índice no último ano (2010=100)</t>
  </si>
  <si>
    <t xml:space="preserve">Média anual composta (CAGR).</t>
  </si>
  <si>
    <t xml:space="preserve">Qual foi o pior ano?</t>
  </si>
  <si>
    <t xml:space="preserve">variação deflacionada</t>
  </si>
  <si>
    <t xml:space="preserve">Pandemia.</t>
  </si>
  <si>
    <t xml:space="preserve">Colunas de crescimento por ano</t>
  </si>
  <si>
    <t xml:space="preserve">Qual foi o melhor ano?</t>
  </si>
  <si>
    <t xml:space="preserve">2022 pode ter efeito de mudança de metodologia do IBGE. Confirmar antes de destacar.</t>
  </si>
  <si>
    <t xml:space="preserve">Serie_PIB / Problemas_Dados</t>
  </si>
  <si>
    <t xml:space="preserve">SJC ganhou ou perdeu peso no estado de SP?</t>
  </si>
  <si>
    <t xml:space="preserve">pontos percentuais desde 2002</t>
  </si>
  <si>
    <t xml:space="preserve">Participação no último ano</t>
  </si>
  <si>
    <t xml:space="preserve">Perder peso não é encolher: o estado cresceu mais rápido.</t>
  </si>
  <si>
    <t xml:space="preserve">Linha de participação</t>
  </si>
  <si>
    <t xml:space="preserve">E no Brasil?</t>
  </si>
  <si>
    <t xml:space="preserve">Idem.</t>
  </si>
  <si>
    <t xml:space="preserve">Quanto SJC pesa na própria microrregião?</t>
  </si>
  <si>
    <t xml:space="preserve">do PIB da microrregião</t>
  </si>
  <si>
    <t xml:space="preserve">Na mesorregião</t>
  </si>
  <si>
    <t xml:space="preserve">SJC é o polo econômico da região.</t>
  </si>
  <si>
    <t xml:space="preserve">SJC ainda é uma cidade industrial?</t>
  </si>
  <si>
    <t xml:space="preserve">do VAB é indústria</t>
  </si>
  <si>
    <t xml:space="preserve">Serviços (exceto adm. pública)</t>
  </si>
  <si>
    <t xml:space="preserve">Último dado por setor é de 2021.</t>
  </si>
  <si>
    <t xml:space="preserve">Linhas de participação por setor</t>
  </si>
  <si>
    <t xml:space="preserve">Quando a indústria pesou mais?</t>
  </si>
  <si>
    <t xml:space="preserve">maior peso no VAB</t>
  </si>
  <si>
    <t xml:space="preserve">Queda até 2013 e recuperação a partir de 2016.</t>
  </si>
  <si>
    <t xml:space="preserve">E quando pesou menos?</t>
  </si>
  <si>
    <t xml:space="preserve">menor peso no VAB</t>
  </si>
  <si>
    <t xml:space="preserve">Quanto do PIB é imposto?</t>
  </si>
  <si>
    <t xml:space="preserve">do PIB</t>
  </si>
  <si>
    <t xml:space="preserve">Impostos líquidos de subsídios sobre produtos.</t>
  </si>
  <si>
    <t xml:space="preserve">Quantos empregos formais há por 1.000 habitantes?</t>
  </si>
  <si>
    <t xml:space="preserve">vínculos por 1.000 hab.</t>
  </si>
  <si>
    <t xml:space="preserve">PIB por vínculo (R$ mil)</t>
  </si>
  <si>
    <t xml:space="preserve">Não inclui informais nem servidores públicos (ausentes da base RAIS).</t>
  </si>
  <si>
    <t xml:space="preserve">A indústria emprega na mesma proporção em que produz?</t>
  </si>
  <si>
    <t xml:space="preserve">dos vínculos são da indústria</t>
  </si>
  <si>
    <t xml:space="preserve">% do VAB que é indústria</t>
  </si>
  <si>
    <t xml:space="preserve">Anos diferentes (RAIS 2024 x VAB 2021). Use como ordem de grandeza.</t>
  </si>
  <si>
    <t xml:space="preserve">Barras: % vínculos x % VAB</t>
  </si>
  <si>
    <t xml:space="preserve">PIB de São José dos Campos, 2002–2023</t>
  </si>
  <si>
    <t xml:space="preserve">Correntes = valor do ano. R$ 2023 = corrigido pelo IPCA. Crescimento deflacionado = variação do PIB em R$ 2023.</t>
  </si>
  <si>
    <t xml:space="preserve">PIB corrente (R$ bi)</t>
  </si>
  <si>
    <t xml:space="preserve">PIB em R$ 2023 (R$ bi)</t>
  </si>
  <si>
    <t xml:space="preserve">Crescimento nominal</t>
  </si>
  <si>
    <t xml:space="preserve">Crescimento deflacionado</t>
  </si>
  <si>
    <t xml:space="preserve">Índice PIB (2010=100)</t>
  </si>
  <si>
    <t xml:space="preserve">População</t>
  </si>
  <si>
    <t xml:space="preserve">Fonte da população</t>
  </si>
  <si>
    <t xml:space="preserve">PIB per capita em R$ 2023</t>
  </si>
  <si>
    <t xml:space="preserve">Detalhamento por setor</t>
  </si>
  <si>
    <t xml:space="preserve">Atenção: 2007, 2010 e 2022 usam contagem/censo; 2023 é interpolada. Saltos no per capita nesses anos vêm em parte da população, não só do PIB.</t>
  </si>
  <si>
    <t xml:space="preserve">O crescimento de 2022 pode misturar efeito de mudança de metodologia do IBGE (ver Problemas_Dados).</t>
  </si>
  <si>
    <t xml:space="preserve">Estrutura da economia: peso de cada setor no valor adicionado (VAB)</t>
  </si>
  <si>
    <t xml:space="preserve">2002–2021. O IBGE não publicou o detalhamento por setor de 2022 e 2023 (ver Problemas_Dados).</t>
  </si>
  <si>
    <t xml:space="preserve">Agropecuária</t>
  </si>
  <si>
    <t xml:space="preserve">Indústria</t>
  </si>
  <si>
    <t xml:space="preserve">Adm. pública</t>
  </si>
  <si>
    <t xml:space="preserve">Total</t>
  </si>
  <si>
    <t xml:space="preserve">VAB indústria R$ 2023 (R$ bi)</t>
  </si>
  <si>
    <t xml:space="preserve">VAB serviços R$ 2023 (R$ bi)</t>
  </si>
  <si>
    <t xml:space="preserve">Impostos / PIB</t>
  </si>
  <si>
    <t xml:space="preserve">Maior peso da indústria na série:</t>
  </si>
  <si>
    <t xml:space="preserve">Menor peso da indústria na série:</t>
  </si>
  <si>
    <t xml:space="preserve">A agropecuária fica abaixo de 0,2% em todos os anos, por isso não aparece no gráfico.</t>
  </si>
  <si>
    <t xml:space="preserve">Peso de SJC no PIB da região, do estado e do país</t>
  </si>
  <si>
    <t xml:space="preserve">Participação do PIB de SJC no PIB de cada recorte, 2002–2023 (IBGE, tab. 5938).</t>
  </si>
  <si>
    <t xml:space="preserve">Microrregião</t>
  </si>
  <si>
    <t xml:space="preserve">Mesorregião</t>
  </si>
  <si>
    <t xml:space="preserve">Estado de SP</t>
  </si>
  <si>
    <t xml:space="preserve">Região Sudeste</t>
  </si>
  <si>
    <t xml:space="preserve">Brasil</t>
  </si>
  <si>
    <t xml:space="preserve">Variação 2002→último (pontos percentuais)</t>
  </si>
  <si>
    <t xml:space="preserve">Micro e mesorregião são as divisões regionais antigas do IBGE (substituídas em 2017 por regiões imediatas e intermediárias), mas a tabela 5938 ainda as usa.</t>
  </si>
  <si>
    <t xml:space="preserve">Perder participação não quer dizer encolher: o PIB de SJC cresceu, mas o do estado e do país cresceram mais rápido.</t>
  </si>
  <si>
    <t xml:space="preserve">Emprego formal (RAIS 2024) x valor adicionado (PIB) por setor</t>
  </si>
  <si>
    <t xml:space="preserve">Atenção aos anos: vínculos de 2024, VAB por setor de 2021 (último publicado). Use como ordem de grandeza, não como medida exata.</t>
  </si>
  <si>
    <t xml:space="preserve">Ano do VAB por setor:</t>
  </si>
  <si>
    <t xml:space="preserve">Setor do PIB</t>
  </si>
  <si>
    <t xml:space="preserve">Vínculos RAIS 2024</t>
  </si>
  <si>
    <t xml:space="preserve">% dos vínculos</t>
  </si>
  <si>
    <t xml:space="preserve">% do VAB</t>
  </si>
  <si>
    <t xml:space="preserve">VAB em R$ 2023 (R$ bi)</t>
  </si>
  <si>
    <t xml:space="preserve">VAB por vínculo (R$ mil, R$ 2023)</t>
  </si>
  <si>
    <t xml:space="preserve">Leitura</t>
  </si>
  <si>
    <t xml:space="preserve">Administração pública</t>
  </si>
  <si>
    <t xml:space="preserve">Indicadores gerais</t>
  </si>
  <si>
    <t xml:space="preserve">Indicador</t>
  </si>
  <si>
    <t xml:space="preserve">Valor</t>
  </si>
  <si>
    <t xml:space="preserve">Anos usados</t>
  </si>
  <si>
    <t xml:space="preserve">PIB por vínculo formal</t>
  </si>
  <si>
    <t xml:space="preserve">R$ mil</t>
  </si>
  <si>
    <t xml:space="preserve">PIB 2023 / vínculos 2024</t>
  </si>
  <si>
    <t xml:space="preserve">Vínculos formais por 1.000 habitantes</t>
  </si>
  <si>
    <t xml:space="preserve">vínculos</t>
  </si>
  <si>
    <t xml:space="preserve">RAIS 2024 / população 2024</t>
  </si>
  <si>
    <t xml:space="preserve">Diferença entre % do VAB e % dos vínculos na indústria</t>
  </si>
  <si>
    <t xml:space="preserve">pontos percentuais</t>
  </si>
  <si>
    <t xml:space="preserve">VAB 2021 / RAIS 2024</t>
  </si>
  <si>
    <t xml:space="preserve">A indústria responde por uma fatia do valor adicionado bem maior que sua fatia do emprego formal: produz muito por trabalhador (aeronaves, veículos, refino).</t>
  </si>
  <si>
    <t xml:space="preserve">A linha de adm. pública não é comparável: a base RAIS do projeto não traz órgãos públicos, enquanto o VAB do IBGE inclui educação e saúde públicas.</t>
  </si>
  <si>
    <t xml:space="preserve">Como os valores viram 'R$ de 2023'</t>
  </si>
  <si>
    <t xml:space="preserve">Fator de um ano = produto de (1 + IPCA) de todos os anos seguintes até 2023. Ex.: R$ 1 de 2022 = R$ 1,0462 de 2023.</t>
  </si>
  <si>
    <t xml:space="preserve">IPCA no ano (%)</t>
  </si>
  <si>
    <t xml:space="preserve">Fator para R$ 2023 (recalculado)</t>
  </si>
  <si>
    <t xml:space="preserve">Fator do Colab</t>
  </si>
  <si>
    <t xml:space="preserve">Diferença</t>
  </si>
  <si>
    <t xml:space="preserve">Como corrigir qualquer valor: valor em R$ 2023 = valor do ano × fator do ano.</t>
  </si>
  <si>
    <t xml:space="preserve">Escolha do projeto: IPCA de dezembro a dezembro. Outra opção seria o IPCA médio do ano, que combina melhor com um fluxo anual como o PIB; registrar a escolha no Log de Decisões.</t>
  </si>
  <si>
    <t xml:space="preserve">Conferência dos cálculos do Colab</t>
  </si>
  <si>
    <t xml:space="preserve">Cada coluna recalcula um indicador e mostra a maior diferença em relação ao valor do Colab.</t>
  </si>
  <si>
    <t xml:space="preserve">Per capita recalc.</t>
  </si>
  <si>
    <t xml:space="preserve">Dif. per capita (R$)</t>
  </si>
  <si>
    <t xml:space="preserve">PIB R$ 2023 recalc.</t>
  </si>
  <si>
    <t xml:space="preserve">Dif. PIB R$ 2023 (R$)</t>
  </si>
  <si>
    <t xml:space="preserve">Soma dos setores – VAB total (R$)</t>
  </si>
  <si>
    <t xml:space="preserve">VAB + impostos – PIB (R$)</t>
  </si>
  <si>
    <t xml:space="preserve">Maior</t>
  </si>
  <si>
    <t xml:space="preserve">Resultado: os cálculos do Colab conferem. Diferenças de até R$ 2.000 no VAB são arredondamento do IBGE (valores publicados em R$ mil).</t>
  </si>
  <si>
    <t xml:space="preserve">Limitações e problemas nos dados do IBGE</t>
  </si>
  <si>
    <t xml:space="preserve">Sugestão: registrar os itens 'Novo' no Log de Decisões de Dados.</t>
  </si>
  <si>
    <t xml:space="preserve">Problema</t>
  </si>
  <si>
    <t xml:space="preserve">Afeta</t>
  </si>
  <si>
    <t xml:space="preserve">Tratamento sugerido</t>
  </si>
  <si>
    <t xml:space="preserve">Status</t>
  </si>
  <si>
    <t xml:space="preserve">O IBGE não publicou o valor adicionado por setor de 2022 e 2023, só o PIB total ('...' no arquivo). O motivo é a mudança do ano de referência das Contas Nacionais (2010 → 2021).</t>
  </si>
  <si>
    <t xml:space="preserve">12 registros (6 variáveis × 2 anos)</t>
  </si>
  <si>
    <t xml:space="preserve">Correto deixar vazio (não zero), como o Colab fez. No painel: estrutura setorial até 2021, com nota.</t>
  </si>
  <si>
    <t xml:space="preserve">Tratado</t>
  </si>
  <si>
    <t xml:space="preserve">A série 2022–2023 já pode seguir a nova referência do IBGE, e 2002–2021 a antiga. O crescimento de 18,5% em 2022 pode ter parte de efeito metodológico.</t>
  </si>
  <si>
    <t xml:space="preserve">Crescimento 2022</t>
  </si>
  <si>
    <t xml:space="preserve">Confirmar nas notas técnicas do IBGE antes de destacar 2022 como 'melhor ano'.</t>
  </si>
  <si>
    <t xml:space="preserve">Novo – verificar</t>
  </si>
  <si>
    <t xml:space="preserve">Quebras na série de população: Contagem 2007 (−2,6%), salto de 2013 (+4,6%, nova projeção) e Censo 2022 (−5,5% frente à estimativa de 2021).</t>
  </si>
  <si>
    <t xml:space="preserve">PIB per capita em 2007, 2013 e 2022</t>
  </si>
  <si>
    <t xml:space="preserve">Marcar esses anos no gráfico de per capita e explicar na legenda.</t>
  </si>
  <si>
    <t xml:space="preserve">Novo</t>
  </si>
  <si>
    <t xml:space="preserve">Não existe estimativa oficial de população para 2023. O Colab interpolou entre Censo 2022 e estimativa 2024 (710.905).</t>
  </si>
  <si>
    <t xml:space="preserve">PIB per capita 2023</t>
  </si>
  <si>
    <t xml:space="preserve">Manter e registrar como decisão (DEC) com o método.</t>
  </si>
  <si>
    <t xml:space="preserve">Novo – registrar</t>
  </si>
  <si>
    <t xml:space="preserve">A correção pelo IPCA gera crescimento 'deflacionado', não o 'PIB real' oficial (o IBGE não publica volume para municípios).</t>
  </si>
  <si>
    <t xml:space="preserve">Todas as colunas *_real_2023 e cresc_real_pct</t>
  </si>
  <si>
    <t xml:space="preserve">Chamar de 'deflacionado pelo IPCA' nos rótulos do painel. Avaliar IPCA médio anual em vez de dez/dez.</t>
  </si>
  <si>
    <t xml:space="preserve">Os arquivos usam formatos diferentes: sidra_* com ponto decimal; fato_* e indicadores com vírgula decimal e 4 casas.</t>
  </si>
  <si>
    <t xml:space="preserve">Importação no Power BI</t>
  </si>
  <si>
    <t xml:space="preserve">Padronizar no Colab (ex.: tudo com ponto) ou definir a localidade certa em cada importação.</t>
  </si>
  <si>
    <t xml:space="preserve">As participações regionais aparecem duas vezes: em fato_pib (colunas part_pib_*) e em sidra_5938_participacoes. Os valores são iguais.</t>
  </si>
  <si>
    <t xml:space="preserve">Modelo de dados</t>
  </si>
  <si>
    <t xml:space="preserve">Usar só uma fonte no Power BI (sugestão: o formato longo de fato_Participacoes).</t>
  </si>
  <si>
    <t xml:space="preserve">Anos diferentes entre as fontes: RAIS 2024, PIB 2023, VAB por setor 2021.</t>
  </si>
  <si>
    <t xml:space="preserve">Todo cruzamento RAIS x PIB</t>
  </si>
  <si>
    <t xml:space="preserve">Amplia a DEC-005. Sempre mostrar o ano de cada número no painel.</t>
  </si>
  <si>
    <t xml:space="preserve">Ampliar DEC-005</t>
  </si>
  <si>
    <t xml:space="preserve">Micro e mesorregião são divisões regionais antigas (o IBGE criou regiões imediatas e intermediárias em 2017).</t>
  </si>
  <si>
    <t xml:space="preserve">Manter, porque é o que a tabela 5938 traz; explicar na legenda.</t>
  </si>
  <si>
    <t xml:space="preserve">Informativo</t>
  </si>
  <si>
    <t xml:space="preserve">O log mostra que a coleta usou arquivo local (API indisponível) e que a seção RAIS do notebook não rodou.</t>
  </si>
  <si>
    <t xml:space="preserve">Reprodutibilidade</t>
  </si>
  <si>
    <t xml:space="preserve">Registrar a data e a origem do arquivo baixado; rodar de novo a seção RAIS com o caminho certo.</t>
  </si>
  <si>
    <t xml:space="preserve">IPCA vai até 2025 e população até 2026, mas o PIB vai até 2023.</t>
  </si>
  <si>
    <t xml:space="preserve">Filtros por ano</t>
  </si>
  <si>
    <t xml:space="preserve">No Power BI, limitar o filtro de ano a 2002–2023 nas páginas de PIB.</t>
  </si>
  <si>
    <t xml:space="preserve">Diferenças de até R$ 2.000 entre a soma dos setores e o VAB total.</t>
  </si>
  <si>
    <t xml:space="preserve">Identidades contábeis</t>
  </si>
  <si>
    <t xml:space="preserve">Arredondamento do IBGE (valores em R$ mil). Nenhuma ação.</t>
  </si>
  <si>
    <t xml:space="preserve">OK</t>
  </si>
  <si>
    <t xml:space="preserve">Dicionário de dados: o que é cada coluna</t>
  </si>
  <si>
    <t xml:space="preserve">Unidade 'R$' = reais (o IBGE publica em R$ mil; o Colab multiplicou por 1.000).</t>
  </si>
  <si>
    <t xml:space="preserve">Arquivo</t>
  </si>
  <si>
    <t xml:space="preserve">Coluna</t>
  </si>
  <si>
    <t xml:space="preserve">Significado</t>
  </si>
  <si>
    <t xml:space="preserve">fato_pib_sjc_anual</t>
  </si>
  <si>
    <t xml:space="preserve">ano</t>
  </si>
  <si>
    <t xml:space="preserve">Ano de referência</t>
  </si>
  <si>
    <t xml:space="preserve">pib</t>
  </si>
  <si>
    <t xml:space="preserve">Produto Interno Bruto a preços correntes (valor do próprio ano)</t>
  </si>
  <si>
    <t xml:space="preserve">R$</t>
  </si>
  <si>
    <t xml:space="preserve">vab_total</t>
  </si>
  <si>
    <t xml:space="preserve">Valor adicionado bruto total (PIB sem impostos)</t>
  </si>
  <si>
    <t xml:space="preserve">vab_agropecuaria / vab_industria</t>
  </si>
  <si>
    <t xml:space="preserve">Valor adicionado da agropecuária / da indústria (inclui construção e utilidades)</t>
  </si>
  <si>
    <t xml:space="preserve">vab_servicos</t>
  </si>
  <si>
    <t xml:space="preserve">Valor adicionado dos serviços, exceto administração pública</t>
  </si>
  <si>
    <t xml:space="preserve">vab_adm_publica</t>
  </si>
  <si>
    <t xml:space="preserve">Valor adicionado de administração, defesa, educação e saúde públicas e seguridade</t>
  </si>
  <si>
    <t xml:space="preserve">impostos</t>
  </si>
  <si>
    <t xml:space="preserve">Impostos, líquidos de subsídios, sobre produtos</t>
  </si>
  <si>
    <t xml:space="preserve">detalhamento_setorial</t>
  </si>
  <si>
    <t xml:space="preserve">'Completo' = tem VAB por setor; 'Somente PIB total' = 2022 e 2023</t>
  </si>
  <si>
    <t xml:space="preserve">texto</t>
  </si>
  <si>
    <t xml:space="preserve">populacao / fonte_populacao</t>
  </si>
  <si>
    <t xml:space="preserve">População usada no per capita e de onde veio</t>
  </si>
  <si>
    <t xml:space="preserve">pessoas</t>
  </si>
  <si>
    <t xml:space="preserve">quebra_serie_populacao</t>
  </si>
  <si>
    <t xml:space="preserve">Base da população (Censo 2010 ou anterior / Censo 2022)</t>
  </si>
  <si>
    <t xml:space="preserve">fator_ipca_para_2023</t>
  </si>
  <si>
    <t xml:space="preserve">Multiplicador para levar valores do ano a preços de 2023</t>
  </si>
  <si>
    <t xml:space="preserve">fator</t>
  </si>
  <si>
    <t xml:space="preserve">*_real_2023</t>
  </si>
  <si>
    <t xml:space="preserve">Mesmo valor corrigido para R$ de 2023 (valor × fator)</t>
  </si>
  <si>
    <t xml:space="preserve">R$ de 2023</t>
  </si>
  <si>
    <t xml:space="preserve">cresc_nominal_pct</t>
  </si>
  <si>
    <t xml:space="preserve">Variação do PIB corrente sobre o ano anterior</t>
  </si>
  <si>
    <t xml:space="preserve">%</t>
  </si>
  <si>
    <t xml:space="preserve">cresc_real_pct</t>
  </si>
  <si>
    <t xml:space="preserve">Variação do PIB em R$ 2023 (deflacionada pelo IPCA)</t>
  </si>
  <si>
    <t xml:space="preserve">indice_pib_real_2010_100</t>
  </si>
  <si>
    <t xml:space="preserve">PIB em R$ 2023 como índice, com 2010 = 100</t>
  </si>
  <si>
    <t xml:space="preserve">índice</t>
  </si>
  <si>
    <t xml:space="preserve">pib_per_capita / _real_2023</t>
  </si>
  <si>
    <t xml:space="preserve">PIB dividido pela população (corrente / em R$ 2023)</t>
  </si>
  <si>
    <t xml:space="preserve">part_*_no_vab_pct</t>
  </si>
  <si>
    <t xml:space="preserve">Peso de cada setor no VAB total</t>
  </si>
  <si>
    <t xml:space="preserve">carga_impostos_no_pib_pct</t>
  </si>
  <si>
    <t xml:space="preserve">Impostos sobre produtos ÷ PIB</t>
  </si>
  <si>
    <t xml:space="preserve">part_pib_*_pct</t>
  </si>
  <si>
    <t xml:space="preserve">Peso do PIB de SJC no PIB da micro, meso, estado, Sudeste e Brasil</t>
  </si>
  <si>
    <t xml:space="preserve">fato_vab_setorial_sjc</t>
  </si>
  <si>
    <t xml:space="preserve">cod_setor / setor</t>
  </si>
  <si>
    <t xml:space="preserve">Código e nome do setor (formato longo: 1 linha por ano e setor)</t>
  </si>
  <si>
    <t xml:space="preserve">vab_corrente / vab_real_2023</t>
  </si>
  <si>
    <t xml:space="preserve">VAB do setor (corrente / em R$ 2023)</t>
  </si>
  <si>
    <t xml:space="preserve">participacao_no_vab_pct / cresc_real_pct</t>
  </si>
  <si>
    <t xml:space="preserve">Peso no VAB e variação deflacionada do setor</t>
  </si>
  <si>
    <t xml:space="preserve">sidra_1737_ipca_anual</t>
  </si>
  <si>
    <t xml:space="preserve">ipca_acum_12m_dez_pct</t>
  </si>
  <si>
    <t xml:space="preserve">IPCA acumulado de janeiro a dezembro do ano</t>
  </si>
  <si>
    <t xml:space="preserve">sidra_populacao_sjc</t>
  </si>
  <si>
    <t xml:space="preserve">populacao / fonte</t>
  </si>
  <si>
    <t xml:space="preserve">População oficial e a pesquisa de origem (estimativa, contagem ou censo)</t>
  </si>
  <si>
    <t xml:space="preserve">sidra_5938_participacoes_sjc</t>
  </si>
  <si>
    <t xml:space="preserve">indicador / valor_pct</t>
  </si>
  <si>
    <t xml:space="preserve">Participação de SJC no PIB de cada recorte (formato longo)</t>
  </si>
  <si>
    <t xml:space="preserve">sidra_5938_pib_sjc</t>
  </si>
  <si>
    <t xml:space="preserve">cod_variavel / variavel / valor</t>
  </si>
  <si>
    <t xml:space="preserve">Dado bruto da tabela 5938, em R$ mil; '...' = não disponível</t>
  </si>
  <si>
    <t xml:space="preserve">indicadores_impacto_sjc</t>
  </si>
  <si>
    <t xml:space="preserve">indicador / valor / periodo</t>
  </si>
  <si>
    <t xml:space="preserve">Indicadores-resumo prontos para os cartões do painel</t>
  </si>
  <si>
    <t xml:space="preserve">variada</t>
  </si>
  <si>
    <t xml:space="preserve">log_tratamento_ibge</t>
  </si>
  <si>
    <t xml:space="preserve">etapa / descricao / linhas_afetadas</t>
  </si>
  <si>
    <t xml:space="preserve">Registro do que o notebook fez em cada etapa</t>
  </si>
  <si>
    <t xml:space="preserve">Glossário em linguagem simples</t>
  </si>
  <si>
    <t xml:space="preserve">Termo</t>
  </si>
  <si>
    <t xml:space="preserve">O que é</t>
  </si>
  <si>
    <t xml:space="preserve">Exemplo com SJC</t>
  </si>
  <si>
    <t xml:space="preserve">PIB</t>
  </si>
  <si>
    <t xml:space="preserve">Tudo o que foi produzido na cidade no ano, em reais: valor adicionado + impostos sobre produtos.</t>
  </si>
  <si>
    <t xml:space="preserve">R$ 61,4 bilhões em 2023.</t>
  </si>
  <si>
    <t xml:space="preserve">VAB (valor adicionado bruto)</t>
  </si>
  <si>
    <t xml:space="preserve">O valor que cada setor acrescenta: o que vende menos o que gastou com insumos. Somado dá o PIB sem os impostos.</t>
  </si>
  <si>
    <t xml:space="preserve">A indústria adicionou R$ 16,5 bi em 2021.</t>
  </si>
  <si>
    <t xml:space="preserve">Preços correntes</t>
  </si>
  <si>
    <t xml:space="preserve">Valor em reais do próprio ano, sem descontar a inflação.</t>
  </si>
  <si>
    <t xml:space="preserve">PIB de 2002: R$ 13,3 bi correntes.</t>
  </si>
  <si>
    <t xml:space="preserve">Deflacionar / R$ de 2023</t>
  </si>
  <si>
    <t xml:space="preserve">Corrigir pela inflação para comparar anos diferentes como se todos fossem de 2023.</t>
  </si>
  <si>
    <t xml:space="preserve">PIB de 2002 em R$ 2023: R$ 44,3 bi.</t>
  </si>
  <si>
    <t xml:space="preserve">IPCA</t>
  </si>
  <si>
    <t xml:space="preserve">Índice oficial de inflação do Brasil, calculado pelo IBGE.</t>
  </si>
  <si>
    <t xml:space="preserve">4,62% em 2023.</t>
  </si>
  <si>
    <t xml:space="preserve">Quanto o PIB em R$ 2023 variou de um ano para o outro.</t>
  </si>
  <si>
    <t xml:space="preserve">−13,5% em 2020.</t>
  </si>
  <si>
    <t xml:space="preserve">Índice 2010 = 100</t>
  </si>
  <si>
    <t xml:space="preserve">Mostra a evolução em relação a 2010: 112 quer dizer 12% acima de 2010.</t>
  </si>
  <si>
    <t xml:space="preserve">112,1 em 2023.</t>
  </si>
  <si>
    <t xml:space="preserve">CAGR (média anual composta)</t>
  </si>
  <si>
    <t xml:space="preserve">Taxa constante que levaria do valor inicial ao final no período.</t>
  </si>
  <si>
    <t xml:space="preserve">1,57% ao ano de 2002 a 2023.</t>
  </si>
  <si>
    <t xml:space="preserve">PIB per capita</t>
  </si>
  <si>
    <t xml:space="preserve">PIB dividido pela população. Mede produção por habitante, não renda das pessoas.</t>
  </si>
  <si>
    <t xml:space="preserve">R$ 86.361 em 2023.</t>
  </si>
  <si>
    <t xml:space="preserve">Participação</t>
  </si>
  <si>
    <t xml:space="preserve">Peso de SJC no total de um recorte maior.</t>
  </si>
  <si>
    <t xml:space="preserve">1,78% do PIB de SP em 2023.</t>
  </si>
  <si>
    <t xml:space="preserve">Microrregião / mesorregião</t>
  </si>
  <si>
    <t xml:space="preserve">Agrupamentos de municípios usados pelo IBGE até 2017.</t>
  </si>
  <si>
    <t xml:space="preserve">SJC é cerca de metade da microrregião.</t>
  </si>
  <si>
    <t xml:space="preserve">Quebra de série</t>
  </si>
  <si>
    <t xml:space="preserve">Mudança de método ou fonte que impede comparar diretamente um ano com o anterior.</t>
  </si>
  <si>
    <t xml:space="preserve">População do Censo 2022.</t>
  </si>
  <si>
    <t xml:space="preserve">Interpolação</t>
  </si>
  <si>
    <t xml:space="preserve">Estimar um valor que falta usando os vizinhos.</t>
  </si>
  <si>
    <t xml:space="preserve">População de 2023.</t>
  </si>
  <si>
    <t xml:space="preserve">Vínculo (RAIS)</t>
  </si>
  <si>
    <t xml:space="preserve">Emprego formal ativo em 31/12. Uma pessoa com dois empregos conta duas vezes.</t>
  </si>
  <si>
    <t xml:space="preserve">206.717 vínculos em 2024.</t>
  </si>
  <si>
    <t xml:space="preserve">Sugestões de organização, visualização e legendas</t>
  </si>
  <si>
    <t xml:space="preserve">Tema</t>
  </si>
  <si>
    <t xml:space="preserve">Sugestão</t>
  </si>
  <si>
    <t xml:space="preserve">Como e por quê</t>
  </si>
  <si>
    <t xml:space="preserve">Tabela dAno como centro</t>
  </si>
  <si>
    <t xml:space="preserve">Uma tabela só com os anos (2002–2026) ligada a fato_PIB, fato_VAB_setorial, dIPCA, dPopulacao e fato_Participacoes. Um filtro de ano controla todas as páginas.</t>
  </si>
  <si>
    <t xml:space="preserve">Ponte RAIS ↔ PIB</t>
  </si>
  <si>
    <t xml:space="preserve">Ligar a RAIS à dSetor_CNAE_IBGE pela seção CNAE e a dSetor à fato_VAB_setorial pelo setor. Assim o mesmo filtro de setor vale para emprego e PIB.</t>
  </si>
  <si>
    <t xml:space="preserve">Uma fonte por informação</t>
  </si>
  <si>
    <t xml:space="preserve">Usar fato_Participacoes (formato longo) e não as colunas part_pib_* repetidas. Usar fato_VAB_setorial para setores.</t>
  </si>
  <si>
    <t xml:space="preserve">Medidas em vez de colunas prontas</t>
  </si>
  <si>
    <t xml:space="preserve">Ex.: PIB per capita = DIVIDE(SUM(fato_PIB[pib]); SUM(fato_PIB[populacao])). Assim o número acompanha o filtro.</t>
  </si>
  <si>
    <t xml:space="preserve">Página PIB</t>
  </si>
  <si>
    <t xml:space="preserve">Cartões no topo</t>
  </si>
  <si>
    <t xml:space="preserve">PIB do último ano, per capita, crescimento do ano, média 2002–2023 e participação em SP. Cada cartão com o ano embaixo.</t>
  </si>
  <si>
    <t xml:space="preserve">Uma linha só, com rótulo nos anos de destaque (2008, 2016, 2020, 2023). Eixo começando em zero.</t>
  </si>
  <si>
    <t xml:space="preserve">Barras acima e abaixo de zero mostram crises e recuperações melhor que a linha.</t>
  </si>
  <si>
    <t xml:space="preserve">Página Estrutura</t>
  </si>
  <si>
    <t xml:space="preserve">Indústria, serviços e adm. pública até 2021; nota explicando por que 2022–2023 não aparecem.</t>
  </si>
  <si>
    <t xml:space="preserve">Página Região</t>
  </si>
  <si>
    <t xml:space="preserve">Linhas de participação</t>
  </si>
  <si>
    <t xml:space="preserve">Separar em dois gráficos: estado/Sudeste/Brasil (até 3%) e micro/meso (até 60%). Escalas muito diferentes não cabem num eixo.</t>
  </si>
  <si>
    <t xml:space="preserve">Página Emprego x PIB</t>
  </si>
  <si>
    <t xml:space="preserve">Barras agrupadas por setor</t>
  </si>
  <si>
    <t xml:space="preserve">% dos vínculos (RAIS) ao lado de % do VAB (IBGE). Mostra que a indústria produz muito por trabalhador.</t>
  </si>
  <si>
    <t xml:space="preserve">Legendas e padrão</t>
  </si>
  <si>
    <t xml:space="preserve">Mesma cor para o mesmo setor</t>
  </si>
  <si>
    <t xml:space="preserve">Indústria sempre na mesma cor em todas as páginas e também na página da RAIS (seções B a F).</t>
  </si>
  <si>
    <t xml:space="preserve">Escrever 'deflacionado pelo IPCA'</t>
  </si>
  <si>
    <t xml:space="preserve">Nos títulos e eixos, em vez de 'real', para não confundir com o PIB real oficial.</t>
  </si>
  <si>
    <t xml:space="preserve">Ano em todo número</t>
  </si>
  <si>
    <t xml:space="preserve">Como as fontes têm anos diferentes, todo cartão e gráfico mostra o ano de referência.</t>
  </si>
  <si>
    <t xml:space="preserve">Marcar quebras de série</t>
  </si>
  <si>
    <t xml:space="preserve">Ícone ou nota nos anos 2007, 2013, 2022 (população) e 2022 (metodologia do PIB).</t>
  </si>
  <si>
    <t xml:space="preserve">Rodapé de fonte</t>
  </si>
  <si>
    <t xml:space="preserve">'Fonte: IBGE – PIB dos Municípios (tab. 5938), IPCA (tab. 1737). Elaboração: equipe API Fatec SJC.'</t>
  </si>
  <si>
    <t xml:space="preserve">Apresentação</t>
  </si>
  <si>
    <t xml:space="preserve">Contar em 3 frases</t>
  </si>
  <si>
    <t xml:space="preserve">1) SJC produz R$ 61 bi e cresce devagar; 2) perde peso no estado; 3) a indústria produz muito com pouco emprego. Cada frase com um gráfico.</t>
  </si>
  <si>
    <t xml:space="preserve">Ponte entre a CNAE (RAIS) e os 4 setores do PIB municipal (IBGE)</t>
  </si>
  <si>
    <t xml:space="preserve">Vínculos copiados de CNAE_RAIS_SJC_2024.xlsx, aba Setores_Secao (RAIS 2024, vínculos ativos em 31/12).</t>
  </si>
  <si>
    <t xml:space="preserve">Seção CNAE</t>
  </si>
  <si>
    <t xml:space="preserve">Nome</t>
  </si>
  <si>
    <t xml:space="preserve">Setor no PIB do IBGE</t>
  </si>
  <si>
    <t xml:space="preserve">Observação</t>
  </si>
  <si>
    <t xml:space="preserve">A</t>
  </si>
  <si>
    <t xml:space="preserve">B</t>
  </si>
  <si>
    <t xml:space="preserve">Indústrias extrativas</t>
  </si>
  <si>
    <t xml:space="preserve">C</t>
  </si>
  <si>
    <t xml:space="preserve">Indústria de transformação</t>
  </si>
  <si>
    <t xml:space="preserve">D</t>
  </si>
  <si>
    <t xml:space="preserve">Eletricidade e gás</t>
  </si>
  <si>
    <t xml:space="preserve">Serviços industriais de utilidade pública</t>
  </si>
  <si>
    <t xml:space="preserve">E</t>
  </si>
  <si>
    <t xml:space="preserve">Água, esgoto e resíduos</t>
  </si>
  <si>
    <t xml:space="preserve">F</t>
  </si>
  <si>
    <t xml:space="preserve">Construção</t>
  </si>
  <si>
    <t xml:space="preserve">No PIB do IBGE a construção faz parte da indústria</t>
  </si>
  <si>
    <t xml:space="preserve">G</t>
  </si>
  <si>
    <t xml:space="preserve">Comércio e reparação de veículos</t>
  </si>
  <si>
    <t xml:space="preserve">H</t>
  </si>
  <si>
    <t xml:space="preserve">Transporte, armazenagem e correio</t>
  </si>
  <si>
    <t xml:space="preserve">I</t>
  </si>
  <si>
    <t xml:space="preserve">Alojamento e alimentação</t>
  </si>
  <si>
    <t xml:space="preserve">J</t>
  </si>
  <si>
    <t xml:space="preserve">Informação e comunicação</t>
  </si>
  <si>
    <t xml:space="preserve">K</t>
  </si>
  <si>
    <t xml:space="preserve">Atividades financeiras e seguros</t>
  </si>
  <si>
    <t xml:space="preserve">L</t>
  </si>
  <si>
    <t xml:space="preserve">Atividades imobiliárias</t>
  </si>
  <si>
    <t xml:space="preserve">M</t>
  </si>
  <si>
    <t xml:space="preserve">Atividades profissionais, científicas e técnicas</t>
  </si>
  <si>
    <t xml:space="preserve">N</t>
  </si>
  <si>
    <t xml:space="preserve">Atividades administrativas</t>
  </si>
  <si>
    <t xml:space="preserve">O</t>
  </si>
  <si>
    <t xml:space="preserve">Na base RAIS quase não há órgãos públicos</t>
  </si>
  <si>
    <t xml:space="preserve">P</t>
  </si>
  <si>
    <t xml:space="preserve">Educação</t>
  </si>
  <si>
    <t xml:space="preserve">Na RAIS da base só há escolas privadas; as públicas iriam para adm. pública</t>
  </si>
  <si>
    <t xml:space="preserve">Q</t>
  </si>
  <si>
    <t xml:space="preserve">Saúde humana e serviços sociais</t>
  </si>
  <si>
    <t xml:space="preserve">Idem: só saúde privada na base</t>
  </si>
  <si>
    <t xml:space="preserve">R</t>
  </si>
  <si>
    <t xml:space="preserve">Artes, cultura, esporte e recreação</t>
  </si>
  <si>
    <t xml:space="preserve">S</t>
  </si>
  <si>
    <t xml:space="preserve">Outras atividades de serviços</t>
  </si>
  <si>
    <t xml:space="preserve">T</t>
  </si>
  <si>
    <t xml:space="preserve">Serviços domésticos</t>
  </si>
  <si>
    <t xml:space="preserve">U</t>
  </si>
  <si>
    <t xml:space="preserve">Organismos internacionais</t>
  </si>
  <si>
    <t xml:space="preserve">Use esta tabela no Power BI para ligar a RAIS (por seção CNAE) ao PIB (por setor).</t>
  </si>
  <si>
    <t xml:space="preserve">vab_agropecuaria</t>
  </si>
  <si>
    <t xml:space="preserve">vab_industria</t>
  </si>
  <si>
    <t xml:space="preserve">populacao</t>
  </si>
  <si>
    <t xml:space="preserve">fonte_populacao</t>
  </si>
  <si>
    <t xml:space="preserve">pib_real_2023</t>
  </si>
  <si>
    <t xml:space="preserve">vab_total_real_2023</t>
  </si>
  <si>
    <t xml:space="preserve">vab_agropecuaria_real_2023</t>
  </si>
  <si>
    <t xml:space="preserve">vab_industria_real_2023</t>
  </si>
  <si>
    <t xml:space="preserve">vab_servicos_real_2023</t>
  </si>
  <si>
    <t xml:space="preserve">vab_adm_publica_real_2023</t>
  </si>
  <si>
    <t xml:space="preserve">impostos_real_2023</t>
  </si>
  <si>
    <t xml:space="preserve">pib_per_capita</t>
  </si>
  <si>
    <t xml:space="preserve">pib_per_capita_real_2023</t>
  </si>
  <si>
    <t xml:space="preserve">part_agropecuaria_no_vab_pct</t>
  </si>
  <si>
    <t xml:space="preserve">part_industria_no_vab_pct</t>
  </si>
  <si>
    <t xml:space="preserve">part_servicos_no_vab_pct</t>
  </si>
  <si>
    <t xml:space="preserve">part_adm_publica_no_vab_pct</t>
  </si>
  <si>
    <t xml:space="preserve">part_pib_sudeste_pct</t>
  </si>
  <si>
    <t xml:space="preserve">part_pib_mesorregiao_pct</t>
  </si>
  <si>
    <t xml:space="preserve">part_pib_microrregiao_pct</t>
  </si>
  <si>
    <t xml:space="preserve">part_pib_brasil_pct</t>
  </si>
  <si>
    <t xml:space="preserve">part_pib_estado_sp_pct</t>
  </si>
  <si>
    <t xml:space="preserve">Completo</t>
  </si>
  <si>
    <t xml:space="preserve">Estimativas da População (tab. 6579)</t>
  </si>
  <si>
    <t xml:space="preserve">Base Censo 2010 ou anterior</t>
  </si>
  <si>
    <t xml:space="preserve">Contagem da População 2007 (tab. 793)</t>
  </si>
  <si>
    <t xml:space="preserve">Censo 2010 (tab. 1378)</t>
  </si>
  <si>
    <t xml:space="preserve">Somente PIB total</t>
  </si>
  <si>
    <t xml:space="preserve">Censo 2022 (tab. 4709)</t>
  </si>
  <si>
    <t xml:space="preserve">Base Censo 2022</t>
  </si>
  <si>
    <t xml:space="preserve">Interpolação linear (tratamento do projeto)</t>
  </si>
  <si>
    <t xml:space="preserve">cod_setor</t>
  </si>
  <si>
    <t xml:space="preserve">setor</t>
  </si>
  <si>
    <t xml:space="preserve">vab_corrente</t>
  </si>
  <si>
    <t xml:space="preserve">vab_real_2023</t>
  </si>
  <si>
    <t xml:space="preserve">participacao_no_vab_pct</t>
  </si>
  <si>
    <t xml:space="preserve">Administração pública, defesa, educação e saúde públicas</t>
  </si>
  <si>
    <t xml:space="preserve">fonte</t>
  </si>
  <si>
    <t xml:space="preserve">indicador</t>
  </si>
  <si>
    <t xml:space="preserve">valor_pct</t>
  </si>
  <si>
    <t xml:space="preserve">Participação no PIB da microrregião</t>
  </si>
  <si>
    <t xml:space="preserve">Participação no PIB da mesorregião</t>
  </si>
  <si>
    <t xml:space="preserve">Participação no PIB do estado (SP)</t>
  </si>
  <si>
    <t xml:space="preserve">Participação no PIB da Região Sudeste</t>
  </si>
  <si>
    <t xml:space="preserve">Participação no PIB do Brasil</t>
  </si>
  <si>
    <t xml:space="preserve">valor</t>
  </si>
  <si>
    <t xml:space="preserve">unidade</t>
  </si>
  <si>
    <t xml:space="preserve">periodo</t>
  </si>
  <si>
    <t xml:space="preserve">observacao</t>
  </si>
  <si>
    <t xml:space="preserve">PIB a preços correntes</t>
  </si>
  <si>
    <t xml:space="preserve">2023</t>
  </si>
  <si>
    <t xml:space="preserve">IBGE, tab. 5938</t>
  </si>
  <si>
    <t xml:space="preserve">População 2023 interpolada (Censo 2022 ↔ Estimativa 2024)</t>
  </si>
  <si>
    <t xml:space="preserve">Crescimento real do PIB no ano</t>
  </si>
  <si>
    <t xml:space="preserve">Deflacionado pelo IPCA</t>
  </si>
  <si>
    <t xml:space="preserve">Crescimento real do PIB 2013–2023 (média anual)</t>
  </si>
  <si>
    <t xml:space="preserve">% a.a.</t>
  </si>
  <si>
    <t xml:space="preserve">2013–2023</t>
  </si>
  <si>
    <t xml:space="preserve">CAGR, R$ de 2023</t>
  </si>
  <si>
    <t xml:space="preserve">Crescimento real do PIB 2002–2023 (média anual)</t>
  </si>
  <si>
    <t xml:space="preserve">2002–2023</t>
  </si>
  <si>
    <t xml:space="preserve">VAB da indústria</t>
  </si>
  <si>
    <t xml:space="preserve">2021</t>
  </si>
  <si>
    <t xml:space="preserve">Último ano com detalhamento setorial</t>
  </si>
  <si>
    <t xml:space="preserve">Participação da indústria no VAB</t>
  </si>
  <si>
    <t xml:space="preserve">Participação dos serviços no VAB</t>
  </si>
  <si>
    <t xml:space="preserve">Serviços exceto adm. pública</t>
  </si>
  <si>
    <t xml:space="preserve">Impostos líquidos sobre produtos / PIB</t>
  </si>
  <si>
    <t xml:space="preserve">Último ano disponível</t>
  </si>
  <si>
    <t xml:space="preserve">Queda real do PIB na pandemia</t>
  </si>
  <si>
    <t xml:space="preserve">2020</t>
  </si>
  <si>
    <t xml:space="preserve">Variação real 2019→2020</t>
  </si>
  <si>
    <t xml:space="preserve">etapa</t>
  </si>
  <si>
    <t xml:space="preserve">descricao</t>
  </si>
  <si>
    <t xml:space="preserve">linhas_afetadas</t>
  </si>
  <si>
    <t xml:space="preserve">1-coleta</t>
  </si>
  <si>
    <t xml:space="preserve">PIB dos Municípios lido de: arquivo local (API indisponível: URLError)</t>
  </si>
  <si>
    <t xml:space="preserve">154 registros</t>
  </si>
  <si>
    <t xml:space="preserve">2-filtro</t>
  </si>
  <si>
    <t xml:space="preserve">Filtro município 3549904 + 7 variáveis + 2002–2023</t>
  </si>
  <si>
    <t xml:space="preserve">154 → 154 registros</t>
  </si>
  <si>
    <t xml:space="preserve">3.1-ausentes</t>
  </si>
  <si>
    <t xml:space="preserve">Códigos '...', '..', 'X' convertidos em vazio (NaN), não em zero</t>
  </si>
  <si>
    <t xml:space="preserve">12 registros</t>
  </si>
  <si>
    <t xml:space="preserve">3.2-unidade</t>
  </si>
  <si>
    <t xml:space="preserve">Valores convertidos de 'Mil Reais' para Reais (× 1.000)</t>
  </si>
  <si>
    <t xml:space="preserve">3.3-pivot</t>
  </si>
  <si>
    <t xml:space="preserve">Tabela convertida para formato largo (1 linha por ano)</t>
  </si>
  <si>
    <t xml:space="preserve">22 anos</t>
  </si>
  <si>
    <t xml:space="preserve">3.4-duplicidades</t>
  </si>
  <si>
    <t xml:space="preserve">Verificação de anos duplicados</t>
  </si>
  <si>
    <t xml:space="preserve">0 encontrados</t>
  </si>
  <si>
    <t xml:space="preserve">3.5-identidades</t>
  </si>
  <si>
    <t xml:space="preserve">VAB = soma dos setores e PIB = VAB + impostos conferidos</t>
  </si>
  <si>
    <t xml:space="preserve">20 anos; maior diferença R$ 2,000</t>
  </si>
  <si>
    <t xml:space="preserve">3.6-populacao</t>
  </si>
  <si>
    <t xml:space="preserve">População interpolada para os anos sem dado oficial: [2023]</t>
  </si>
  <si>
    <t xml:space="preserve">1 anos</t>
  </si>
  <si>
    <t xml:space="preserve">3.7-deflacao</t>
  </si>
  <si>
    <t xml:space="preserve">Valores a preços de 2023 calculados pelo IPCA (tab. 1737)</t>
  </si>
  <si>
    <t xml:space="preserve">7 colunas</t>
  </si>
  <si>
    <t xml:space="preserve">4-indicadores</t>
  </si>
  <si>
    <t xml:space="preserve">Crescimento, índice 2010=100, per capita, estrutura setorial e participações regionais</t>
  </si>
  <si>
    <t xml:space="preserve">4.1-setorial</t>
  </si>
  <si>
    <t xml:space="preserve">Tabela longa ano × setor (2002–2021; 2022–2023 sem detalhamento no IBGE)</t>
  </si>
  <si>
    <t xml:space="preserve">80 linhas</t>
  </si>
  <si>
    <t xml:space="preserve">4.2-kpis</t>
  </si>
  <si>
    <t xml:space="preserve">Indicadores-resumo para os cartões do painel</t>
  </si>
  <si>
    <t xml:space="preserve">13 indicadores</t>
  </si>
  <si>
    <t xml:space="preserve">5-rais</t>
  </si>
  <si>
    <t xml:space="preserve">Arquivo da RAIS não encontrado — defina CAMINHO_RAIS e rode esta seção de novo</t>
  </si>
  <si>
    <t xml:space="preserve">6-exportacao</t>
  </si>
  <si>
    <t xml:space="preserve">Arquivos gravados em dados_tratados/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</si>
</sst>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#,##0.0"/>
    <numFmt numFmtId="167" formatCode="#,##0"/>
    <numFmt numFmtId="168" formatCode="0.0%"/>
    <numFmt numFmtId="169" formatCode="0.00%"/>
    <numFmt numFmtId="170" formatCode="\+0.00;\-0.00"/>
    <numFmt numFmtId="171" formatCode="#,##0.00"/>
    <numFmt numFmtId="172" formatCode="0%"/>
    <numFmt numFmtId="173" formatCode="\+0.0;\-0.0"/>
    <numFmt numFmtId="174" formatCode="0.0000"/>
    <numFmt numFmtId="175" formatCode="0.000000"/>
    <numFmt numFmtId="176" formatCode="#,##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666699"/>
      <rgbColor rgb="FF969696"/>
      <rgbColor rgb="FF003366"/>
      <rgbColor rgb="FF1BAF7A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PIB em R$ de 2023 (R$ bilhões)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"PIB R$ 2023"</c:f>
              <c:strCache>
                <c:ptCount val="1"/>
                <c:pt idx="0">
                  <c:v>PIB R$ 2023</c:v>
                </c:pt>
              </c:strCache>
            </c:strRef>
          </c:tx>
          <c:spPr>
            <a:solidFill>
              <a:srgbClr val="2a78d6"/>
            </a:solidFill>
            <a:ln w="25560">
              <a:solidFill>
                <a:srgbClr val="2a78d6"/>
              </a:solidFill>
              <a:round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Serie_PIB!$A$5:$A$26</c:f>
              <c:strCach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strCache>
            </c:strRef>
          </c:cat>
          <c:val>
            <c:numRef>
              <c:f>Serie_PIB!$C$5:$C$26</c:f>
              <c:numCache>
                <c:formatCode>#,##0.00</c:formatCode>
                <c:ptCount val="22"/>
                <c:pt idx="0">
                  <c:v>44.2888559840537</c:v>
                </c:pt>
                <c:pt idx="1">
                  <c:v>48.2232905624102</c:v>
                </c:pt>
                <c:pt idx="2">
                  <c:v>52.7312409999588</c:v>
                </c:pt>
                <c:pt idx="3">
                  <c:v>49.3261470754803</c:v>
                </c:pt>
                <c:pt idx="4">
                  <c:v>49.0641547815094</c:v>
                </c:pt>
                <c:pt idx="5">
                  <c:v>54.2130392500019</c:v>
                </c:pt>
                <c:pt idx="6">
                  <c:v>58.271849026882</c:v>
                </c:pt>
                <c:pt idx="7">
                  <c:v>55.1499985103989</c:v>
                </c:pt>
                <c:pt idx="8">
                  <c:v>54.7897022775342</c:v>
                </c:pt>
                <c:pt idx="9">
                  <c:v>50.7901424144688</c:v>
                </c:pt>
                <c:pt idx="10">
                  <c:v>49.992279137644</c:v>
                </c:pt>
                <c:pt idx="11">
                  <c:v>50.2305446094613</c:v>
                </c:pt>
                <c:pt idx="12">
                  <c:v>50.6312954137004</c:v>
                </c:pt>
                <c:pt idx="13">
                  <c:v>51.096102687899</c:v>
                </c:pt>
                <c:pt idx="14">
                  <c:v>59.0524050529761</c:v>
                </c:pt>
                <c:pt idx="15">
                  <c:v>54.2824082548379</c:v>
                </c:pt>
                <c:pt idx="16">
                  <c:v>52.7166701205928</c:v>
                </c:pt>
                <c:pt idx="17">
                  <c:v>55.4624237313813</c:v>
                </c:pt>
                <c:pt idx="18">
                  <c:v>47.9496094885965</c:v>
                </c:pt>
                <c:pt idx="19">
                  <c:v>50.0359775700238</c:v>
                </c:pt>
                <c:pt idx="20">
                  <c:v>59.2707107074</c:v>
                </c:pt>
                <c:pt idx="21">
                  <c:v>61.394524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2213362"/>
        <c:axId val="40663629"/>
      </c:lineChart>
      <c:catAx>
        <c:axId val="6221336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63629"/>
        <c:crosses val="autoZero"/>
        <c:auto val="1"/>
        <c:lblAlgn val="ctr"/>
        <c:lblOffset val="100"/>
        <c:noMultiLvlLbl val="0"/>
      </c:catAx>
      <c:valAx>
        <c:axId val="4066362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133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Crescimento deflacionado do PIB por 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"Crescimento"</c:f>
              <c:strCache>
                <c:ptCount val="1"/>
                <c:pt idx="0">
                  <c:v>Crescimento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Serie_PIB!$A$6:$A$26</c:f>
              <c:strCach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strCache>
            </c:strRef>
          </c:cat>
          <c:val>
            <c:numRef>
              <c:f>Serie_PIB!$E$6:$E$26</c:f>
              <c:numCache>
                <c:formatCode>0.0%</c:formatCode>
                <c:ptCount val="21"/>
                <c:pt idx="0">
                  <c:v>0.088836</c:v>
                </c:pt>
                <c:pt idx="1">
                  <c:v>0.093481</c:v>
                </c:pt>
                <c:pt idx="2">
                  <c:v>-0.064575</c:v>
                </c:pt>
                <c:pt idx="3">
                  <c:v>-0.005311</c:v>
                </c:pt>
                <c:pt idx="4">
                  <c:v>0.104942</c:v>
                </c:pt>
                <c:pt idx="5">
                  <c:v>0.074868</c:v>
                </c:pt>
                <c:pt idx="6">
                  <c:v>-0.053574</c:v>
                </c:pt>
                <c:pt idx="7">
                  <c:v>-0.006533</c:v>
                </c:pt>
                <c:pt idx="8">
                  <c:v>-0.072998</c:v>
                </c:pt>
                <c:pt idx="9">
                  <c:v>-0.015709</c:v>
                </c:pt>
                <c:pt idx="10">
                  <c:v>0.004766</c:v>
                </c:pt>
                <c:pt idx="11">
                  <c:v>0.007978</c:v>
                </c:pt>
                <c:pt idx="12">
                  <c:v>0.00918</c:v>
                </c:pt>
                <c:pt idx="13">
                  <c:v>0.155713</c:v>
                </c:pt>
                <c:pt idx="14">
                  <c:v>-0.080776</c:v>
                </c:pt>
                <c:pt idx="15">
                  <c:v>-0.028844</c:v>
                </c:pt>
                <c:pt idx="16">
                  <c:v>0.052085</c:v>
                </c:pt>
                <c:pt idx="17">
                  <c:v>-0.135458</c:v>
                </c:pt>
                <c:pt idx="18">
                  <c:v>0.043512</c:v>
                </c:pt>
                <c:pt idx="19">
                  <c:v>0.184562</c:v>
                </c:pt>
                <c:pt idx="20">
                  <c:v>0.035832</c:v>
                </c:pt>
              </c:numCache>
            </c:numRef>
          </c:val>
        </c:ser>
        <c:gapWidth val="60"/>
        <c:overlap val="0"/>
        <c:axId val="41311517"/>
        <c:axId val="80146529"/>
      </c:barChart>
      <c:catAx>
        <c:axId val="4131151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46529"/>
        <c:crosses val="autoZero"/>
        <c:auto val="1"/>
        <c:lblAlgn val="ctr"/>
        <c:lblOffset val="100"/>
        <c:noMultiLvlLbl val="0"/>
      </c:catAx>
      <c:valAx>
        <c:axId val="801465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3115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PIB per capita em R$ de 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"Per capita R$ 2023"</c:f>
              <c:strCache>
                <c:ptCount val="1"/>
                <c:pt idx="0">
                  <c:v>Per capita R$ 2023</c:v>
                </c:pt>
              </c:strCache>
            </c:strRef>
          </c:tx>
          <c:spPr>
            <a:solidFill>
              <a:srgbClr val="2a78d6"/>
            </a:solidFill>
            <a:ln w="25560">
              <a:solidFill>
                <a:srgbClr val="2a78d6"/>
              </a:solidFill>
              <a:round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Serie_PIB!$A$5:$A$26</c:f>
              <c:strCach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strCache>
            </c:strRef>
          </c:cat>
          <c:val>
            <c:numRef>
              <c:f>Serie_PIB!$J$5:$J$26</c:f>
              <c:numCache>
                <c:formatCode>#,##0</c:formatCode>
                <c:ptCount val="22"/>
                <c:pt idx="0">
                  <c:v>79128.2199</c:v>
                </c:pt>
                <c:pt idx="1">
                  <c:v>84724.5946</c:v>
                </c:pt>
                <c:pt idx="2">
                  <c:v>89519.1257</c:v>
                </c:pt>
                <c:pt idx="3">
                  <c:v>82203.5318</c:v>
                </c:pt>
                <c:pt idx="4">
                  <c:v>80305.9992</c:v>
                </c:pt>
                <c:pt idx="5">
                  <c:v>91122.3153</c:v>
                </c:pt>
                <c:pt idx="6">
                  <c:v>95648.5148</c:v>
                </c:pt>
                <c:pt idx="7">
                  <c:v>89547.9711</c:v>
                </c:pt>
                <c:pt idx="8">
                  <c:v>86978.6882</c:v>
                </c:pt>
                <c:pt idx="9">
                  <c:v>79748.8717</c:v>
                </c:pt>
                <c:pt idx="10">
                  <c:v>77675.6465</c:v>
                </c:pt>
                <c:pt idx="11">
                  <c:v>74608.4984</c:v>
                </c:pt>
                <c:pt idx="12">
                  <c:v>74344.5213</c:v>
                </c:pt>
                <c:pt idx="13">
                  <c:v>74203.2026</c:v>
                </c:pt>
                <c:pt idx="14">
                  <c:v>84846.3848</c:v>
                </c:pt>
                <c:pt idx="15">
                  <c:v>77191.3277</c:v>
                </c:pt>
                <c:pt idx="16">
                  <c:v>73838.766</c:v>
                </c:pt>
                <c:pt idx="17">
                  <c:v>76823.72</c:v>
                </c:pt>
                <c:pt idx="18">
                  <c:v>65708.0695</c:v>
                </c:pt>
                <c:pt idx="19">
                  <c:v>67862.8766</c:v>
                </c:pt>
                <c:pt idx="20">
                  <c:v>85030.3</c:v>
                </c:pt>
                <c:pt idx="21">
                  <c:v>86361.0806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1904671"/>
        <c:axId val="89682514"/>
      </c:lineChart>
      <c:catAx>
        <c:axId val="1190467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82514"/>
        <c:crosses val="autoZero"/>
        <c:auto val="1"/>
        <c:lblAlgn val="ctr"/>
        <c:lblOffset val="100"/>
        <c:noMultiLvlLbl val="0"/>
      </c:catAx>
      <c:valAx>
        <c:axId val="8968251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9046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Peso de cada setor no valor adicionado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"Indústria"</c:f>
              <c:strCache>
                <c:ptCount val="1"/>
                <c:pt idx="0">
                  <c:v>Indústria</c:v>
                </c:pt>
              </c:strCache>
            </c:strRef>
          </c:tx>
          <c:spPr>
            <a:solidFill>
              <a:srgbClr val="2a78d6"/>
            </a:solidFill>
            <a:ln w="25560">
              <a:solidFill>
                <a:srgbClr val="2a78d6"/>
              </a:solidFill>
              <a:round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Estrutura_Setorial!$A$5:$A$24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Estrutura_Setorial!$C$5:$C$24</c:f>
              <c:numCache>
                <c:formatCode>0.0%</c:formatCode>
                <c:ptCount val="20"/>
                <c:pt idx="0">
                  <c:v>0.527449</c:v>
                </c:pt>
                <c:pt idx="1">
                  <c:v>0.562629</c:v>
                </c:pt>
                <c:pt idx="2">
                  <c:v>0.590208</c:v>
                </c:pt>
                <c:pt idx="3">
                  <c:v>0.552855</c:v>
                </c:pt>
                <c:pt idx="4">
                  <c:v>0.522718</c:v>
                </c:pt>
                <c:pt idx="5">
                  <c:v>0.550185</c:v>
                </c:pt>
                <c:pt idx="6">
                  <c:v>0.548066</c:v>
                </c:pt>
                <c:pt idx="7">
                  <c:v>0.509746</c:v>
                </c:pt>
                <c:pt idx="8">
                  <c:v>0.485399</c:v>
                </c:pt>
                <c:pt idx="9">
                  <c:v>0.405087</c:v>
                </c:pt>
                <c:pt idx="10">
                  <c:v>0.355178</c:v>
                </c:pt>
                <c:pt idx="11">
                  <c:v>0.322561</c:v>
                </c:pt>
                <c:pt idx="12">
                  <c:v>0.340973</c:v>
                </c:pt>
                <c:pt idx="13">
                  <c:v>0.37832</c:v>
                </c:pt>
                <c:pt idx="14">
                  <c:v>0.471671</c:v>
                </c:pt>
                <c:pt idx="15">
                  <c:v>0.446165</c:v>
                </c:pt>
                <c:pt idx="16">
                  <c:v>0.413901</c:v>
                </c:pt>
                <c:pt idx="17">
                  <c:v>0.424515</c:v>
                </c:pt>
                <c:pt idx="18">
                  <c:v>0.402867</c:v>
                </c:pt>
                <c:pt idx="19">
                  <c:v>0.423905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"Serviços (exceto adm. pública)"</c:f>
              <c:strCache>
                <c:ptCount val="1"/>
                <c:pt idx="0">
                  <c:v>Serviços (exceto adm. pública)</c:v>
                </c:pt>
              </c:strCache>
            </c:strRef>
          </c:tx>
          <c:spPr>
            <a:solidFill>
              <a:srgbClr val="eb6834"/>
            </a:solidFill>
            <a:ln w="25560">
              <a:solidFill>
                <a:srgbClr val="eb6834"/>
              </a:solidFill>
              <a:round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Estrutura_Setorial!$A$5:$A$24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Estrutura_Setorial!$D$5:$D$24</c:f>
              <c:numCache>
                <c:formatCode>0.0%</c:formatCode>
                <c:ptCount val="20"/>
                <c:pt idx="0">
                  <c:v>0.406157</c:v>
                </c:pt>
                <c:pt idx="1">
                  <c:v>0.375012</c:v>
                </c:pt>
                <c:pt idx="2">
                  <c:v>0.352873</c:v>
                </c:pt>
                <c:pt idx="3">
                  <c:v>0.382337</c:v>
                </c:pt>
                <c:pt idx="4">
                  <c:v>0.406579</c:v>
                </c:pt>
                <c:pt idx="5">
                  <c:v>0.38529</c:v>
                </c:pt>
                <c:pt idx="6">
                  <c:v>0.38897</c:v>
                </c:pt>
                <c:pt idx="7">
                  <c:v>0.416517</c:v>
                </c:pt>
                <c:pt idx="8">
                  <c:v>0.439257</c:v>
                </c:pt>
                <c:pt idx="9">
                  <c:v>0.514306</c:v>
                </c:pt>
                <c:pt idx="10">
                  <c:v>0.560459</c:v>
                </c:pt>
                <c:pt idx="11">
                  <c:v>0.583059</c:v>
                </c:pt>
                <c:pt idx="12">
                  <c:v>0.567935</c:v>
                </c:pt>
                <c:pt idx="13">
                  <c:v>0.533217</c:v>
                </c:pt>
                <c:pt idx="14">
                  <c:v>0.457363</c:v>
                </c:pt>
                <c:pt idx="15">
                  <c:v>0.478429</c:v>
                </c:pt>
                <c:pt idx="16">
                  <c:v>0.508192</c:v>
                </c:pt>
                <c:pt idx="17">
                  <c:v>0.503408</c:v>
                </c:pt>
                <c:pt idx="18">
                  <c:v>0.516328</c:v>
                </c:pt>
                <c:pt idx="19">
                  <c:v>0.50114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"Adm. pública"</c:f>
              <c:strCache>
                <c:ptCount val="1"/>
                <c:pt idx="0">
                  <c:v>Adm. pública</c:v>
                </c:pt>
              </c:strCache>
            </c:strRef>
          </c:tx>
          <c:spPr>
            <a:solidFill>
              <a:srgbClr val="1baf7a"/>
            </a:solidFill>
            <a:ln w="25560">
              <a:solidFill>
                <a:srgbClr val="1baf7a"/>
              </a:solidFill>
              <a:round/>
            </a:ln>
          </c:spPr>
          <c:marker>
            <c:symbol val="circle"/>
            <c:size val="5"/>
            <c:spPr>
              <a:solidFill>
                <a:srgbClr val="1baf7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Estrutura_Setorial!$A$5:$A$24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Estrutura_Setorial!$E$5:$E$24</c:f>
              <c:numCache>
                <c:formatCode>0.0%</c:formatCode>
                <c:ptCount val="20"/>
                <c:pt idx="0">
                  <c:v>0.065736</c:v>
                </c:pt>
                <c:pt idx="1">
                  <c:v>0.061194</c:v>
                </c:pt>
                <c:pt idx="2">
                  <c:v>0.055782</c:v>
                </c:pt>
                <c:pt idx="3">
                  <c:v>0.063955</c:v>
                </c:pt>
                <c:pt idx="4">
                  <c:v>0.069812</c:v>
                </c:pt>
                <c:pt idx="5">
                  <c:v>0.063626</c:v>
                </c:pt>
                <c:pt idx="6">
                  <c:v>0.062283</c:v>
                </c:pt>
                <c:pt idx="7">
                  <c:v>0.072885</c:v>
                </c:pt>
                <c:pt idx="8">
                  <c:v>0.074489</c:v>
                </c:pt>
                <c:pt idx="9">
                  <c:v>0.079879</c:v>
                </c:pt>
                <c:pt idx="10">
                  <c:v>0.083628</c:v>
                </c:pt>
                <c:pt idx="11">
                  <c:v>0.093408</c:v>
                </c:pt>
                <c:pt idx="12">
                  <c:v>0.090606</c:v>
                </c:pt>
                <c:pt idx="13">
                  <c:v>0.087978</c:v>
                </c:pt>
                <c:pt idx="14">
                  <c:v>0.070497</c:v>
                </c:pt>
                <c:pt idx="15">
                  <c:v>0.074931</c:v>
                </c:pt>
                <c:pt idx="16">
                  <c:v>0.077463</c:v>
                </c:pt>
                <c:pt idx="17">
                  <c:v>0.071688</c:v>
                </c:pt>
                <c:pt idx="18">
                  <c:v>0.080186</c:v>
                </c:pt>
                <c:pt idx="19">
                  <c:v>0.074298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7580973"/>
        <c:axId val="8831443"/>
      </c:lineChart>
      <c:catAx>
        <c:axId val="5758097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1443"/>
        <c:crosses val="autoZero"/>
        <c:auto val="1"/>
        <c:lblAlgn val="ctr"/>
        <c:lblOffset val="100"/>
        <c:noMultiLvlLbl val="0"/>
      </c:catAx>
      <c:valAx>
        <c:axId val="883144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809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Participação no PIB do estado, Sudeste e Brasil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"Estado de SP"</c:f>
              <c:strCache>
                <c:ptCount val="1"/>
                <c:pt idx="0">
                  <c:v>Estado de SP</c:v>
                </c:pt>
              </c:strCache>
            </c:strRef>
          </c:tx>
          <c:spPr>
            <a:solidFill>
              <a:srgbClr val="2a78d6"/>
            </a:solidFill>
            <a:ln w="25560">
              <a:solidFill>
                <a:srgbClr val="2a78d6"/>
              </a:solidFill>
              <a:round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Participacao_Regional!$A$5:$A$26</c:f>
              <c:strCach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strCache>
            </c:strRef>
          </c:cat>
          <c:val>
            <c:numRef>
              <c:f>Participacao_Regional!$D$5:$D$26</c:f>
              <c:numCache>
                <c:formatCode>0.00%</c:formatCode>
                <c:ptCount val="22"/>
                <c:pt idx="0">
                  <c:v>0.0257</c:v>
                </c:pt>
                <c:pt idx="1">
                  <c:v>0.0268</c:v>
                </c:pt>
                <c:pt idx="2">
                  <c:v>0.0286</c:v>
                </c:pt>
                <c:pt idx="3">
                  <c:v>0.0248</c:v>
                </c:pt>
                <c:pt idx="4">
                  <c:v>0.023</c:v>
                </c:pt>
                <c:pt idx="5">
                  <c:v>0.0234</c:v>
                </c:pt>
                <c:pt idx="6">
                  <c:v>0.0239</c:v>
                </c:pt>
                <c:pt idx="7">
                  <c:v>0.0218</c:v>
                </c:pt>
                <c:pt idx="8">
                  <c:v>0.02</c:v>
                </c:pt>
                <c:pt idx="9">
                  <c:v>0.0178</c:v>
                </c:pt>
                <c:pt idx="10">
                  <c:v>0.0171</c:v>
                </c:pt>
                <c:pt idx="11">
                  <c:v>0.0165</c:v>
                </c:pt>
                <c:pt idx="12">
                  <c:v>0.0163</c:v>
                </c:pt>
                <c:pt idx="13">
                  <c:v>0.0175</c:v>
                </c:pt>
                <c:pt idx="14">
                  <c:v>0.0204</c:v>
                </c:pt>
                <c:pt idx="15">
                  <c:v>0.0186</c:v>
                </c:pt>
                <c:pt idx="16">
                  <c:v>0.018</c:v>
                </c:pt>
                <c:pt idx="17">
                  <c:v>0.0186</c:v>
                </c:pt>
                <c:pt idx="18">
                  <c:v>0.0166</c:v>
                </c:pt>
                <c:pt idx="19">
                  <c:v>0.0166</c:v>
                </c:pt>
                <c:pt idx="20">
                  <c:v>0.0181</c:v>
                </c:pt>
                <c:pt idx="21">
                  <c:v>0.0178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"Sudeste"</c:f>
              <c:strCache>
                <c:ptCount val="1"/>
                <c:pt idx="0">
                  <c:v>Sudeste</c:v>
                </c:pt>
              </c:strCache>
            </c:strRef>
          </c:tx>
          <c:spPr>
            <a:solidFill>
              <a:srgbClr val="eb6834"/>
            </a:solidFill>
            <a:ln w="25560">
              <a:solidFill>
                <a:srgbClr val="eb6834"/>
              </a:solidFill>
              <a:round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Participacao_Regional!$A$5:$A$26</c:f>
              <c:strCach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strCache>
            </c:strRef>
          </c:cat>
          <c:val>
            <c:numRef>
              <c:f>Participacao_Regional!$E$5:$E$26</c:f>
              <c:numCache>
                <c:formatCode>0.00%</c:formatCode>
                <c:ptCount val="22"/>
                <c:pt idx="0">
                  <c:v>0.0156</c:v>
                </c:pt>
                <c:pt idx="1">
                  <c:v>0.0164</c:v>
                </c:pt>
                <c:pt idx="2">
                  <c:v>0.0169</c:v>
                </c:pt>
                <c:pt idx="3">
                  <c:v>0.0148</c:v>
                </c:pt>
                <c:pt idx="4">
                  <c:v>0.0136</c:v>
                </c:pt>
                <c:pt idx="5">
                  <c:v>0.014</c:v>
                </c:pt>
                <c:pt idx="6">
                  <c:v>0.014</c:v>
                </c:pt>
                <c:pt idx="7">
                  <c:v>0.0131</c:v>
                </c:pt>
                <c:pt idx="8">
                  <c:v>0.0119</c:v>
                </c:pt>
                <c:pt idx="9">
                  <c:v>0.0104</c:v>
                </c:pt>
                <c:pt idx="10">
                  <c:v>0.0099</c:v>
                </c:pt>
                <c:pt idx="11">
                  <c:v>0.0096</c:v>
                </c:pt>
                <c:pt idx="12">
                  <c:v>0.0096</c:v>
                </c:pt>
                <c:pt idx="13">
                  <c:v>0.0105</c:v>
                </c:pt>
                <c:pt idx="14">
                  <c:v>0.0125</c:v>
                </c:pt>
                <c:pt idx="15">
                  <c:v>0.0113</c:v>
                </c:pt>
                <c:pt idx="16">
                  <c:v>0.0107</c:v>
                </c:pt>
                <c:pt idx="17">
                  <c:v>0.0111</c:v>
                </c:pt>
                <c:pt idx="18">
                  <c:v>0.01</c:v>
                </c:pt>
                <c:pt idx="19">
                  <c:v>0.0096</c:v>
                </c:pt>
                <c:pt idx="20">
                  <c:v>0.0105</c:v>
                </c:pt>
                <c:pt idx="21">
                  <c:v>0.0106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"Brasil"</c:f>
              <c:strCache>
                <c:ptCount val="1"/>
                <c:pt idx="0">
                  <c:v>Brasil</c:v>
                </c:pt>
              </c:strCache>
            </c:strRef>
          </c:tx>
          <c:spPr>
            <a:solidFill>
              <a:srgbClr val="1baf7a"/>
            </a:solidFill>
            <a:ln w="25560">
              <a:solidFill>
                <a:srgbClr val="1baf7a"/>
              </a:solidFill>
              <a:round/>
            </a:ln>
          </c:spPr>
          <c:marker>
            <c:symbol val="circle"/>
            <c:size val="5"/>
            <c:spPr>
              <a:solidFill>
                <a:srgbClr val="1baf7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Participacao_Regional!$A$5:$A$26</c:f>
              <c:strCach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strCache>
            </c:strRef>
          </c:cat>
          <c:val>
            <c:numRef>
              <c:f>Participacao_Regional!$F$5:$F$26</c:f>
              <c:numCache>
                <c:formatCode>0.00%</c:formatCode>
                <c:ptCount val="22"/>
                <c:pt idx="0">
                  <c:v>0.009</c:v>
                </c:pt>
                <c:pt idx="1">
                  <c:v>0.0092</c:v>
                </c:pt>
                <c:pt idx="2">
                  <c:v>0.0095</c:v>
                </c:pt>
                <c:pt idx="3">
                  <c:v>0.0085</c:v>
                </c:pt>
                <c:pt idx="4">
                  <c:v>0.0079</c:v>
                </c:pt>
                <c:pt idx="5">
                  <c:v>0.008</c:v>
                </c:pt>
                <c:pt idx="6">
                  <c:v>0.008</c:v>
                </c:pt>
                <c:pt idx="7">
                  <c:v>0.0074</c:v>
                </c:pt>
                <c:pt idx="8">
                  <c:v>0.0067</c:v>
                </c:pt>
                <c:pt idx="9">
                  <c:v>0.0058</c:v>
                </c:pt>
                <c:pt idx="10">
                  <c:v>0.0055</c:v>
                </c:pt>
                <c:pt idx="11">
                  <c:v>0.0053</c:v>
                </c:pt>
                <c:pt idx="12">
                  <c:v>0.0053</c:v>
                </c:pt>
                <c:pt idx="13">
                  <c:v>0.0057</c:v>
                </c:pt>
                <c:pt idx="14">
                  <c:v>0.0066</c:v>
                </c:pt>
                <c:pt idx="15">
                  <c:v>0.006</c:v>
                </c:pt>
                <c:pt idx="16">
                  <c:v>0.0057</c:v>
                </c:pt>
                <c:pt idx="17">
                  <c:v>0.0059</c:v>
                </c:pt>
                <c:pt idx="18">
                  <c:v>0.0052</c:v>
                </c:pt>
                <c:pt idx="19">
                  <c:v>0.005</c:v>
                </c:pt>
                <c:pt idx="20">
                  <c:v>0.0056</c:v>
                </c:pt>
                <c:pt idx="21">
                  <c:v>0.0056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6064314"/>
        <c:axId val="83799071"/>
      </c:lineChart>
      <c:catAx>
        <c:axId val="2606431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99071"/>
        <c:crosses val="autoZero"/>
        <c:auto val="1"/>
        <c:lblAlgn val="ctr"/>
        <c:lblOffset val="100"/>
        <c:noMultiLvlLbl val="0"/>
      </c:catAx>
      <c:valAx>
        <c:axId val="8379907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643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Participação no PIB da micro e mesorregião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"Microrregião"</c:f>
              <c:strCache>
                <c:ptCount val="1"/>
                <c:pt idx="0">
                  <c:v>Microrregião</c:v>
                </c:pt>
              </c:strCache>
            </c:strRef>
          </c:tx>
          <c:spPr>
            <a:solidFill>
              <a:srgbClr val="2a78d6"/>
            </a:solidFill>
            <a:ln w="25560">
              <a:solidFill>
                <a:srgbClr val="2a78d6"/>
              </a:solidFill>
              <a:round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Participacao_Regional!$A$5:$A$26</c:f>
              <c:strCach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strCache>
            </c:strRef>
          </c:cat>
          <c:val>
            <c:numRef>
              <c:f>Participacao_Regional!$B$5:$B$26</c:f>
              <c:numCache>
                <c:formatCode>0.00%</c:formatCode>
                <c:ptCount val="22"/>
                <c:pt idx="0">
                  <c:v>0.5595</c:v>
                </c:pt>
                <c:pt idx="1">
                  <c:v>0.5605</c:v>
                </c:pt>
                <c:pt idx="2">
                  <c:v>0.5753</c:v>
                </c:pt>
                <c:pt idx="3">
                  <c:v>0.5493</c:v>
                </c:pt>
                <c:pt idx="4">
                  <c:v>0.5258</c:v>
                </c:pt>
                <c:pt idx="5">
                  <c:v>0.5291</c:v>
                </c:pt>
                <c:pt idx="6">
                  <c:v>0.5282</c:v>
                </c:pt>
                <c:pt idx="7">
                  <c:v>0.5033</c:v>
                </c:pt>
                <c:pt idx="8">
                  <c:v>0.494</c:v>
                </c:pt>
                <c:pt idx="9">
                  <c:v>0.4684</c:v>
                </c:pt>
                <c:pt idx="10">
                  <c:v>0.4636</c:v>
                </c:pt>
                <c:pt idx="11">
                  <c:v>0.4594</c:v>
                </c:pt>
                <c:pt idx="12">
                  <c:v>0.4616</c:v>
                </c:pt>
                <c:pt idx="13">
                  <c:v>0.4903</c:v>
                </c:pt>
                <c:pt idx="14">
                  <c:v>0.5249</c:v>
                </c:pt>
                <c:pt idx="15">
                  <c:v>0.4973</c:v>
                </c:pt>
                <c:pt idx="16">
                  <c:v>0.4753</c:v>
                </c:pt>
                <c:pt idx="17">
                  <c:v>0.4914</c:v>
                </c:pt>
                <c:pt idx="18">
                  <c:v>0.475</c:v>
                </c:pt>
                <c:pt idx="19">
                  <c:v>0.4618</c:v>
                </c:pt>
                <c:pt idx="20">
                  <c:v>0.4964</c:v>
                </c:pt>
                <c:pt idx="21">
                  <c:v>0.4885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"Mesorregião"</c:f>
              <c:strCache>
                <c:ptCount val="1"/>
                <c:pt idx="0">
                  <c:v>Mesorregião</c:v>
                </c:pt>
              </c:strCache>
            </c:strRef>
          </c:tx>
          <c:spPr>
            <a:solidFill>
              <a:srgbClr val="eb6834"/>
            </a:solidFill>
            <a:ln w="25560">
              <a:solidFill>
                <a:srgbClr val="eb6834"/>
              </a:solidFill>
              <a:round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Participacao_Regional!$A$5:$A$26</c:f>
              <c:strCach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strCache>
            </c:strRef>
          </c:cat>
          <c:val>
            <c:numRef>
              <c:f>Participacao_Regional!$C$5:$C$26</c:f>
              <c:numCache>
                <c:formatCode>0.00%</c:formatCode>
                <c:ptCount val="22"/>
                <c:pt idx="0">
                  <c:v>0.4521</c:v>
                </c:pt>
                <c:pt idx="1">
                  <c:v>0.4568</c:v>
                </c:pt>
                <c:pt idx="2">
                  <c:v>0.4651</c:v>
                </c:pt>
                <c:pt idx="3">
                  <c:v>0.4342</c:v>
                </c:pt>
                <c:pt idx="4">
                  <c:v>0.4117</c:v>
                </c:pt>
                <c:pt idx="5">
                  <c:v>0.4162</c:v>
                </c:pt>
                <c:pt idx="6">
                  <c:v>0.4164</c:v>
                </c:pt>
                <c:pt idx="7">
                  <c:v>0.3949</c:v>
                </c:pt>
                <c:pt idx="8">
                  <c:v>0.3802</c:v>
                </c:pt>
                <c:pt idx="9">
                  <c:v>0.3532</c:v>
                </c:pt>
                <c:pt idx="10">
                  <c:v>0.3453</c:v>
                </c:pt>
                <c:pt idx="11">
                  <c:v>0.3267</c:v>
                </c:pt>
                <c:pt idx="12">
                  <c:v>0.3166</c:v>
                </c:pt>
                <c:pt idx="13">
                  <c:v>0.3463</c:v>
                </c:pt>
                <c:pt idx="14">
                  <c:v>0.3994</c:v>
                </c:pt>
                <c:pt idx="15">
                  <c:v>0.3603</c:v>
                </c:pt>
                <c:pt idx="16">
                  <c:v>0.3202</c:v>
                </c:pt>
                <c:pt idx="17">
                  <c:v>0.3308</c:v>
                </c:pt>
                <c:pt idx="18">
                  <c:v>0.3228</c:v>
                </c:pt>
                <c:pt idx="19">
                  <c:v>0.2874</c:v>
                </c:pt>
                <c:pt idx="20">
                  <c:v>0.2967</c:v>
                </c:pt>
                <c:pt idx="21">
                  <c:v>0.3172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1428586"/>
        <c:axId val="24070765"/>
      </c:lineChart>
      <c:catAx>
        <c:axId val="4142858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70765"/>
        <c:crosses val="autoZero"/>
        <c:auto val="1"/>
        <c:lblAlgn val="ctr"/>
        <c:lblOffset val="100"/>
        <c:noMultiLvlLbl val="0"/>
      </c:catAx>
      <c:valAx>
        <c:axId val="2407076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4285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dos vínculos x % do valor adicionado, por setor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"% dos vínculos (RAIS 2024)"</c:f>
              <c:strCache>
                <c:ptCount val="1"/>
                <c:pt idx="0">
                  <c:v>% dos vínculos (RAIS 2024)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Cruzamento_RAIS!$A$7:$A$9</c:f>
              <c:strCache>
                <c:ptCount val="3"/>
                <c:pt idx="0">
                  <c:v>Agropecuária</c:v>
                </c:pt>
                <c:pt idx="1">
                  <c:v>Indústria</c:v>
                </c:pt>
                <c:pt idx="2">
                  <c:v>Serviços (exceto adm. pública)</c:v>
                </c:pt>
              </c:strCache>
            </c:strRef>
          </c:cat>
          <c:val>
            <c:numRef>
              <c:f>Cruzamento_RAIS!$C$7:$C$9</c:f>
              <c:numCache>
                <c:formatCode>0.0%</c:formatCode>
                <c:ptCount val="3"/>
                <c:pt idx="0">
                  <c:v>0.00301861965876053</c:v>
                </c:pt>
                <c:pt idx="1">
                  <c:v>0.247957352322257</c:v>
                </c:pt>
                <c:pt idx="2">
                  <c:v>0.748482224490487</c:v>
                </c:pt>
              </c:numCache>
            </c:numRef>
          </c:val>
        </c:ser>
        <c:ser>
          <c:idx val="1"/>
          <c:order val="1"/>
          <c:tx>
            <c:strRef>
              <c:f>"% do VAB (IBGE)"</c:f>
              <c:strCache>
                <c:ptCount val="1"/>
                <c:pt idx="0">
                  <c:v>% do VAB (IBGE)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Cruzamento_RAIS!$A$7:$A$9</c:f>
              <c:strCache>
                <c:ptCount val="3"/>
                <c:pt idx="0">
                  <c:v>Agropecuária</c:v>
                </c:pt>
                <c:pt idx="1">
                  <c:v>Indústria</c:v>
                </c:pt>
                <c:pt idx="2">
                  <c:v>Serviços (exceto adm. pública)</c:v>
                </c:pt>
              </c:strCache>
            </c:strRef>
          </c:cat>
          <c:val>
            <c:numRef>
              <c:f>Cruzamento_RAIS!$D$7:$D$9</c:f>
              <c:numCache>
                <c:formatCode>0.0%</c:formatCode>
                <c:ptCount val="3"/>
                <c:pt idx="0">
                  <c:v>0.000657</c:v>
                </c:pt>
                <c:pt idx="1">
                  <c:v>0.423905</c:v>
                </c:pt>
                <c:pt idx="2">
                  <c:v>0.50114</c:v>
                </c:pt>
              </c:numCache>
            </c:numRef>
          </c:val>
        </c:ser>
        <c:gapWidth val="60"/>
        <c:overlap val="0"/>
        <c:axId val="24974114"/>
        <c:axId val="5148511"/>
      </c:barChart>
      <c:catAx>
        <c:axId val="2497411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8511"/>
        <c:crosses val="autoZero"/>
        <c:auto val="1"/>
        <c:lblAlgn val="ctr"/>
        <c:lblOffset val="100"/>
        <c:noMultiLvlLbl val="0"/>
      </c:catAx>
      <c:valAx>
        <c:axId val="51485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7411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22</xdr:col>
      <xdr:colOff>4320</xdr:colOff>
      <xdr:row>17</xdr:row>
      <xdr:rowOff>70560</xdr:rowOff>
    </xdr:to>
    <xdr:graphicFrame>
      <xdr:nvGraphicFramePr>
        <xdr:cNvPr id="0" name="Chart 1"/>
        <xdr:cNvGraphicFramePr/>
      </xdr:nvGraphicFramePr>
      <xdr:xfrm>
        <a:off x="11889000" y="571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19</xdr:row>
      <xdr:rowOff>48240</xdr:rowOff>
    </xdr:from>
    <xdr:to>
      <xdr:col>22</xdr:col>
      <xdr:colOff>4320</xdr:colOff>
      <xdr:row>34</xdr:row>
      <xdr:rowOff>70200</xdr:rowOff>
    </xdr:to>
    <xdr:graphicFrame>
      <xdr:nvGraphicFramePr>
        <xdr:cNvPr id="1" name="Chart 2"/>
        <xdr:cNvGraphicFramePr/>
      </xdr:nvGraphicFramePr>
      <xdr:xfrm>
        <a:off x="11889000" y="3809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36</xdr:row>
      <xdr:rowOff>48240</xdr:rowOff>
    </xdr:from>
    <xdr:to>
      <xdr:col>22</xdr:col>
      <xdr:colOff>4320</xdr:colOff>
      <xdr:row>51</xdr:row>
      <xdr:rowOff>70200</xdr:rowOff>
    </xdr:to>
    <xdr:graphicFrame>
      <xdr:nvGraphicFramePr>
        <xdr:cNvPr id="2" name="Chart 3"/>
        <xdr:cNvGraphicFramePr/>
      </xdr:nvGraphicFramePr>
      <xdr:xfrm>
        <a:off x="11889000" y="704844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160920</xdr:rowOff>
    </xdr:from>
    <xdr:to>
      <xdr:col>20</xdr:col>
      <xdr:colOff>4680</xdr:colOff>
      <xdr:row>21</xdr:row>
      <xdr:rowOff>28440</xdr:rowOff>
    </xdr:to>
    <xdr:graphicFrame>
      <xdr:nvGraphicFramePr>
        <xdr:cNvPr id="3" name="Chart 1"/>
        <xdr:cNvGraphicFramePr/>
      </xdr:nvGraphicFramePr>
      <xdr:xfrm>
        <a:off x="8294400" y="57168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17</xdr:col>
      <xdr:colOff>4680</xdr:colOff>
      <xdr:row>17</xdr:row>
      <xdr:rowOff>70560</xdr:rowOff>
    </xdr:to>
    <xdr:graphicFrame>
      <xdr:nvGraphicFramePr>
        <xdr:cNvPr id="4" name="Chart 1"/>
        <xdr:cNvGraphicFramePr/>
      </xdr:nvGraphicFramePr>
      <xdr:xfrm>
        <a:off x="5616000" y="571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48240</xdr:rowOff>
    </xdr:from>
    <xdr:to>
      <xdr:col>17</xdr:col>
      <xdr:colOff>4680</xdr:colOff>
      <xdr:row>34</xdr:row>
      <xdr:rowOff>70200</xdr:rowOff>
    </xdr:to>
    <xdr:graphicFrame>
      <xdr:nvGraphicFramePr>
        <xdr:cNvPr id="5" name="Chart 2"/>
        <xdr:cNvGraphicFramePr/>
      </xdr:nvGraphicFramePr>
      <xdr:xfrm>
        <a:off x="5616000" y="3809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48240</xdr:rowOff>
    </xdr:from>
    <xdr:to>
      <xdr:col>3</xdr:col>
      <xdr:colOff>1122840</xdr:colOff>
      <xdr:row>35</xdr:row>
      <xdr:rowOff>91440</xdr:rowOff>
    </xdr:to>
    <xdr:graphicFrame>
      <xdr:nvGraphicFramePr>
        <xdr:cNvPr id="6" name="Chart 1"/>
        <xdr:cNvGraphicFramePr/>
      </xdr:nvGraphicFramePr>
      <xdr:xfrm>
        <a:off x="0" y="4381560"/>
        <a:ext cx="64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MAX(fato_PIB!$A$2:$A$23)</f>
        <v>2023</v>
      </c>
    </row>
    <row r="6" customFormat="false" ht="15" hidden="false" customHeight="false" outlineLevel="0" collapsed="false">
      <c r="A6" s="4" t="s">
        <v>4</v>
      </c>
      <c r="B6" s="6" t="n">
        <f aca="false">INDEX(fato_PIB!$B$2:$B$23,MATCH(B5,fato_PIB!$A$2:$A$23,0))/1000000000</f>
        <v>61.394524</v>
      </c>
    </row>
    <row r="7" customFormat="false" ht="15" hidden="false" customHeight="false" outlineLevel="0" collapsed="false">
      <c r="A7" s="4" t="s">
        <v>5</v>
      </c>
      <c r="B7" s="7" t="n">
        <f aca="false">INDEX(fato_PIB!$X$2:$X$23,MATCH(B5,fato_PIB!$A$2:$A$23,0))</f>
        <v>86361.0806</v>
      </c>
    </row>
    <row r="8" customFormat="false" ht="15" hidden="false" customHeight="false" outlineLevel="0" collapsed="false">
      <c r="A8" s="4" t="s">
        <v>6</v>
      </c>
      <c r="B8" s="8" t="n">
        <f aca="false">INDEX(fato_PIB!$V$2:$V$23,MATCH(B5,fato_PIB!$A$2:$A$23,0))/100</f>
        <v>0.035832</v>
      </c>
    </row>
    <row r="9" customFormat="false" ht="15" hidden="false" customHeight="false" outlineLevel="0" collapsed="false">
      <c r="A9" s="4" t="s">
        <v>7</v>
      </c>
      <c r="B9" s="9" t="n">
        <f aca="false">(INDEX(fato_PIB!$N$2:$N$23,MATCH(B5,fato_PIB!$A$2:$A$23,0))/INDEX(fato_PIB!$N$2:$N$23,MATCH(2002,fato_PIB!$A$2:$A$23,0)))^(1/(B5-2002))-1</f>
        <v>0.0156733468724444</v>
      </c>
    </row>
    <row r="10" customFormat="false" ht="15" hidden="false" customHeight="false" outlineLevel="0" collapsed="false">
      <c r="A10" s="4" t="s">
        <v>8</v>
      </c>
      <c r="B10" s="9" t="n">
        <f aca="false">INDEX(fato_PIB!$AI$2:$AI$23,MATCH(B5,fato_PIB!$A$2:$A$23,0))/100</f>
        <v>0.0178</v>
      </c>
    </row>
    <row r="11" customFormat="false" ht="15" hidden="false" customHeight="false" outlineLevel="0" collapsed="false">
      <c r="A11" s="4" t="s">
        <v>9</v>
      </c>
      <c r="B11" s="5" t="n">
        <f aca="false">SUMPRODUCT(MAX((fato_PIB!$I$2:$I$23="Completo")*fato_PIB!$A$2:$A$23))</f>
        <v>2021</v>
      </c>
    </row>
    <row r="12" customFormat="false" ht="15" hidden="false" customHeight="false" outlineLevel="0" collapsed="false">
      <c r="A12" s="4" t="s">
        <v>10</v>
      </c>
      <c r="B12" s="8" t="n">
        <f aca="false">INDEX(fato_PIB!$AA$2:$AA$23,MATCH(B11,fato_PIB!$A$2:$A$23,0))/100</f>
        <v>0.423905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10" t="s">
        <v>18</v>
      </c>
      <c r="B23" s="10" t="s">
        <v>19</v>
      </c>
    </row>
    <row r="24" customFormat="false" ht="15" hidden="false" customHeight="false" outlineLevel="0" collapsed="false">
      <c r="A24" s="11" t="s">
        <v>20</v>
      </c>
      <c r="B24" s="4" t="s">
        <v>21</v>
      </c>
    </row>
    <row r="25" customFormat="false" ht="15" hidden="false" customHeight="false" outlineLevel="0" collapsed="false">
      <c r="A25" s="11" t="s">
        <v>22</v>
      </c>
      <c r="B25" s="4" t="s">
        <v>23</v>
      </c>
    </row>
    <row r="26" customFormat="false" ht="15" hidden="false" customHeight="false" outlineLevel="0" collapsed="false">
      <c r="A26" s="11" t="s">
        <v>24</v>
      </c>
      <c r="B26" s="4" t="s">
        <v>25</v>
      </c>
    </row>
    <row r="27" customFormat="false" ht="15" hidden="false" customHeight="false" outlineLevel="0" collapsed="false">
      <c r="A27" s="11" t="s">
        <v>26</v>
      </c>
      <c r="B27" s="4" t="s">
        <v>27</v>
      </c>
    </row>
    <row r="28" customFormat="false" ht="15" hidden="false" customHeight="false" outlineLevel="0" collapsed="false">
      <c r="A28" s="11" t="s">
        <v>28</v>
      </c>
      <c r="B28" s="4" t="s">
        <v>29</v>
      </c>
    </row>
    <row r="29" customFormat="false" ht="15" hidden="false" customHeight="false" outlineLevel="0" collapsed="false">
      <c r="A29" s="11" t="s">
        <v>30</v>
      </c>
      <c r="B29" s="4" t="s">
        <v>31</v>
      </c>
    </row>
    <row r="30" customFormat="false" ht="15" hidden="false" customHeight="false" outlineLevel="0" collapsed="false">
      <c r="A30" s="11" t="s">
        <v>32</v>
      </c>
      <c r="B30" s="4" t="s">
        <v>33</v>
      </c>
    </row>
    <row r="31" customFormat="false" ht="15" hidden="false" customHeight="false" outlineLevel="0" collapsed="false">
      <c r="A31" s="11" t="s">
        <v>34</v>
      </c>
      <c r="B31" s="4" t="s">
        <v>35</v>
      </c>
    </row>
    <row r="32" customFormat="false" ht="15" hidden="false" customHeight="false" outlineLevel="0" collapsed="false">
      <c r="A32" s="11" t="s">
        <v>36</v>
      </c>
      <c r="B32" s="4" t="s">
        <v>37</v>
      </c>
    </row>
    <row r="33" customFormat="false" ht="15" hidden="false" customHeight="false" outlineLevel="0" collapsed="false">
      <c r="A33" s="11" t="s">
        <v>38</v>
      </c>
      <c r="B33" s="4" t="s">
        <v>39</v>
      </c>
    </row>
    <row r="34" customFormat="false" ht="15" hidden="false" customHeight="false" outlineLevel="0" collapsed="false">
      <c r="A34" s="11" t="s">
        <v>40</v>
      </c>
      <c r="B34" s="4" t="s">
        <v>41</v>
      </c>
    </row>
    <row r="35" customFormat="false" ht="15" hidden="false" customHeight="false" outlineLevel="0" collapsed="false">
      <c r="A35" s="11" t="s">
        <v>42</v>
      </c>
      <c r="B35" s="4" t="s">
        <v>43</v>
      </c>
    </row>
    <row r="36" customFormat="false" ht="15" hidden="false" customHeight="false" outlineLevel="0" collapsed="false">
      <c r="A36" s="11" t="s">
        <v>44</v>
      </c>
      <c r="B36" s="4" t="s">
        <v>45</v>
      </c>
    </row>
    <row r="38" customFormat="false" ht="15" hidden="false" customHeight="false" outlineLevel="0" collapsed="false">
      <c r="A38" s="3" t="s">
        <v>46</v>
      </c>
    </row>
    <row r="39" customFormat="false" ht="15" hidden="false" customHeight="false" outlineLevel="0" collapsed="false">
      <c r="A39" s="4" t="s">
        <v>47</v>
      </c>
    </row>
    <row r="40" customFormat="false" ht="15" hidden="false" customHeight="false" outlineLevel="0" collapsed="false">
      <c r="A40" s="4" t="s">
        <v>48</v>
      </c>
    </row>
    <row r="41" customFormat="false" ht="15" hidden="false" customHeight="false" outlineLevel="0" collapsed="false">
      <c r="A41" s="4" t="s">
        <v>49</v>
      </c>
    </row>
    <row r="42" customFormat="false" ht="15" hidden="false" customHeight="false" outlineLevel="0" collapsed="false">
      <c r="A42" s="4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50"/>
    <col collapsed="false" customWidth="true" hidden="false" outlineLevel="0" max="8" min="8" style="0" width="22"/>
    <col collapsed="false" customWidth="true" hidden="false" outlineLevel="0" max="9" min="9" style="0" width="28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35.05" hidden="false" customHeight="false" outlineLevel="0" collapsed="false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H4" s="10" t="s">
        <v>60</v>
      </c>
      <c r="I4" s="10" t="s">
        <v>61</v>
      </c>
    </row>
    <row r="5" customFormat="false" ht="30" hidden="false" customHeight="true" outlineLevel="0" collapsed="false">
      <c r="A5" s="12" t="n">
        <v>1</v>
      </c>
      <c r="B5" s="13" t="s">
        <v>62</v>
      </c>
      <c r="C5" s="14" t="n">
        <f aca="false">'LEIA-ME'!B6</f>
        <v>61.394524</v>
      </c>
      <c r="D5" s="15" t="s">
        <v>63</v>
      </c>
      <c r="E5" s="15" t="s">
        <v>64</v>
      </c>
      <c r="F5" s="16" t="n">
        <f aca="false">'LEIA-ME'!$B$5</f>
        <v>2023</v>
      </c>
      <c r="G5" s="15" t="s">
        <v>65</v>
      </c>
      <c r="H5" s="15" t="s">
        <v>22</v>
      </c>
      <c r="I5" s="15" t="s">
        <v>66</v>
      </c>
    </row>
    <row r="6" customFormat="false" ht="30" hidden="false" customHeight="true" outlineLevel="0" collapsed="false">
      <c r="A6" s="12" t="n">
        <v>2</v>
      </c>
      <c r="B6" s="13" t="s">
        <v>67</v>
      </c>
      <c r="C6" s="17" t="n">
        <f aca="false">'LEIA-ME'!B7</f>
        <v>86361.0806</v>
      </c>
      <c r="D6" s="15" t="s">
        <v>68</v>
      </c>
      <c r="E6" s="15" t="s">
        <v>64</v>
      </c>
      <c r="F6" s="16" t="n">
        <f aca="false">'LEIA-ME'!$B$5</f>
        <v>2023</v>
      </c>
      <c r="G6" s="15" t="s">
        <v>69</v>
      </c>
      <c r="H6" s="15" t="s">
        <v>22</v>
      </c>
      <c r="I6" s="15" t="s">
        <v>66</v>
      </c>
    </row>
    <row r="7" customFormat="false" ht="30" hidden="false" customHeight="true" outlineLevel="0" collapsed="false">
      <c r="A7" s="12" t="n">
        <v>3</v>
      </c>
      <c r="B7" s="13" t="s">
        <v>70</v>
      </c>
      <c r="C7" s="18" t="n">
        <f aca="false">'LEIA-ME'!B9</f>
        <v>0.0156733468724444</v>
      </c>
      <c r="D7" s="15" t="s">
        <v>71</v>
      </c>
      <c r="E7" s="15" t="s">
        <v>72</v>
      </c>
      <c r="F7" s="19" t="n">
        <f aca="false">INDEX(fato_PIB!$N$2:$N$23,MATCH(2002,fato_PIB!$A$2:$A$23,0))/1000000000</f>
        <v>44.2888559840537</v>
      </c>
      <c r="G7" s="15" t="s">
        <v>73</v>
      </c>
      <c r="H7" s="15" t="s">
        <v>22</v>
      </c>
      <c r="I7" s="15" t="s">
        <v>74</v>
      </c>
    </row>
    <row r="8" customFormat="false" ht="30" hidden="false" customHeight="true" outlineLevel="0" collapsed="false">
      <c r="A8" s="12" t="n">
        <v>4</v>
      </c>
      <c r="B8" s="13" t="s">
        <v>75</v>
      </c>
      <c r="C8" s="18" t="n">
        <f aca="false">(INDEX(fato_PIB!$N$2:$N$23,MATCH('LEIA-ME'!$B$5,fato_PIB!$A$2:$A$23,0))/INDEX(fato_PIB!$N$2:$N$23,MATCH(2013,fato_PIB!$A$2:$A$23,0)))^(1/('LEIA-ME'!$B$5-2013))-1</f>
        <v>0.0202724857877534</v>
      </c>
      <c r="D8" s="15" t="s">
        <v>76</v>
      </c>
      <c r="E8" s="15" t="s">
        <v>77</v>
      </c>
      <c r="F8" s="19" t="n">
        <f aca="false">INDEX(fato_PIB!$W$2:$W$23,MATCH('LEIA-ME'!$B$5,fato_PIB!$A$2:$A$23,0))</f>
        <v>112.0549</v>
      </c>
      <c r="G8" s="15" t="s">
        <v>78</v>
      </c>
      <c r="H8" s="15" t="s">
        <v>22</v>
      </c>
      <c r="I8" s="15" t="s">
        <v>66</v>
      </c>
    </row>
    <row r="9" customFormat="false" ht="30" hidden="false" customHeight="true" outlineLevel="0" collapsed="false">
      <c r="A9" s="12" t="n">
        <v>5</v>
      </c>
      <c r="B9" s="13" t="s">
        <v>79</v>
      </c>
      <c r="C9" s="20" t="n">
        <f aca="false">MIN(fato_PIB!$V$2:$V$23)/100</f>
        <v>-0.135458</v>
      </c>
      <c r="D9" s="15" t="s">
        <v>80</v>
      </c>
      <c r="E9" s="15" t="s">
        <v>64</v>
      </c>
      <c r="F9" s="16" t="n">
        <f aca="false">INDEX(fato_PIB!$A$2:$A$23,MATCH(MIN(fato_PIB!$V$2:$V$23),fato_PIB!$V$2:$V$23,0))</f>
        <v>2020</v>
      </c>
      <c r="G9" s="15" t="s">
        <v>81</v>
      </c>
      <c r="H9" s="15" t="s">
        <v>22</v>
      </c>
      <c r="I9" s="15" t="s">
        <v>82</v>
      </c>
    </row>
    <row r="10" customFormat="false" ht="30" hidden="false" customHeight="true" outlineLevel="0" collapsed="false">
      <c r="A10" s="12" t="n">
        <v>6</v>
      </c>
      <c r="B10" s="13" t="s">
        <v>83</v>
      </c>
      <c r="C10" s="20" t="n">
        <f aca="false">MAX(fato_PIB!$V$2:$V$23)/100</f>
        <v>0.184562</v>
      </c>
      <c r="D10" s="15" t="s">
        <v>80</v>
      </c>
      <c r="E10" s="15" t="s">
        <v>64</v>
      </c>
      <c r="F10" s="16" t="n">
        <f aca="false">INDEX(fato_PIB!$A$2:$A$23,MATCH(MAX(fato_PIB!$V$2:$V$23),fato_PIB!$V$2:$V$23,0))</f>
        <v>2022</v>
      </c>
      <c r="G10" s="15" t="s">
        <v>84</v>
      </c>
      <c r="H10" s="15" t="s">
        <v>85</v>
      </c>
      <c r="I10" s="15" t="s">
        <v>82</v>
      </c>
    </row>
    <row r="11" customFormat="false" ht="30" hidden="false" customHeight="true" outlineLevel="0" collapsed="false">
      <c r="A11" s="12" t="n">
        <v>7</v>
      </c>
      <c r="B11" s="13" t="s">
        <v>86</v>
      </c>
      <c r="C11" s="21" t="n">
        <f aca="false">Participacao_Regional!D27</f>
        <v>-0.79</v>
      </c>
      <c r="D11" s="15" t="s">
        <v>87</v>
      </c>
      <c r="E11" s="15" t="s">
        <v>88</v>
      </c>
      <c r="F11" s="22" t="n">
        <f aca="false">Participacao_Regional!D26</f>
        <v>0.0178</v>
      </c>
      <c r="G11" s="15" t="s">
        <v>89</v>
      </c>
      <c r="H11" s="15" t="s">
        <v>26</v>
      </c>
      <c r="I11" s="15" t="s">
        <v>90</v>
      </c>
    </row>
    <row r="12" customFormat="false" ht="30" hidden="false" customHeight="true" outlineLevel="0" collapsed="false">
      <c r="A12" s="12" t="n">
        <v>8</v>
      </c>
      <c r="B12" s="13" t="s">
        <v>91</v>
      </c>
      <c r="C12" s="21" t="n">
        <f aca="false">Participacao_Regional!F27</f>
        <v>-0.34</v>
      </c>
      <c r="D12" s="15" t="s">
        <v>87</v>
      </c>
      <c r="E12" s="15" t="s">
        <v>88</v>
      </c>
      <c r="F12" s="22" t="n">
        <f aca="false">Participacao_Regional!F26</f>
        <v>0.0056</v>
      </c>
      <c r="G12" s="15" t="s">
        <v>92</v>
      </c>
      <c r="H12" s="15" t="s">
        <v>26</v>
      </c>
      <c r="I12" s="15" t="s">
        <v>90</v>
      </c>
    </row>
    <row r="13" customFormat="false" ht="30" hidden="false" customHeight="true" outlineLevel="0" collapsed="false">
      <c r="A13" s="12" t="n">
        <v>9</v>
      </c>
      <c r="B13" s="13" t="s">
        <v>93</v>
      </c>
      <c r="C13" s="20" t="n">
        <f aca="false">INDEX(fato_PIB!$AG$2:$AG$23,MATCH('LEIA-ME'!$B$5,fato_PIB!$A$2:$A$23,0))/100</f>
        <v>0.4885</v>
      </c>
      <c r="D13" s="15" t="s">
        <v>94</v>
      </c>
      <c r="E13" s="15" t="s">
        <v>95</v>
      </c>
      <c r="F13" s="23" t="n">
        <f aca="false">INDEX(fato_PIB!$AF$2:$AF$23,MATCH('LEIA-ME'!$B$5,fato_PIB!$A$2:$A$23,0))/100</f>
        <v>0.3172</v>
      </c>
      <c r="G13" s="15" t="s">
        <v>96</v>
      </c>
      <c r="H13" s="15" t="s">
        <v>26</v>
      </c>
      <c r="I13" s="15" t="s">
        <v>66</v>
      </c>
    </row>
    <row r="14" customFormat="false" ht="30" hidden="false" customHeight="true" outlineLevel="0" collapsed="false">
      <c r="A14" s="12" t="n">
        <v>10</v>
      </c>
      <c r="B14" s="13" t="s">
        <v>97</v>
      </c>
      <c r="C14" s="20" t="n">
        <f aca="false">'LEIA-ME'!B12</f>
        <v>0.423905</v>
      </c>
      <c r="D14" s="15" t="s">
        <v>98</v>
      </c>
      <c r="E14" s="15" t="s">
        <v>99</v>
      </c>
      <c r="F14" s="23" t="n">
        <f aca="false">INDEX(fato_PIB!$AB$2:$AB$23,MATCH('LEIA-ME'!$B$11,fato_PIB!$A$2:$A$23,0))/100</f>
        <v>0.50114</v>
      </c>
      <c r="G14" s="15" t="s">
        <v>100</v>
      </c>
      <c r="H14" s="15" t="s">
        <v>24</v>
      </c>
      <c r="I14" s="15" t="s">
        <v>101</v>
      </c>
    </row>
    <row r="15" customFormat="false" ht="30" hidden="false" customHeight="true" outlineLevel="0" collapsed="false">
      <c r="A15" s="12" t="n">
        <v>11</v>
      </c>
      <c r="B15" s="13" t="s">
        <v>102</v>
      </c>
      <c r="C15" s="20" t="n">
        <f aca="false">Estrutura_Setorial!D26</f>
        <v>0.590208</v>
      </c>
      <c r="D15" s="15" t="s">
        <v>103</v>
      </c>
      <c r="E15" s="15" t="s">
        <v>64</v>
      </c>
      <c r="F15" s="16" t="n">
        <f aca="false">Estrutura_Setorial!E26</f>
        <v>2004</v>
      </c>
      <c r="G15" s="15" t="s">
        <v>104</v>
      </c>
      <c r="H15" s="15" t="s">
        <v>24</v>
      </c>
      <c r="I15" s="15" t="s">
        <v>101</v>
      </c>
    </row>
    <row r="16" customFormat="false" ht="30" hidden="false" customHeight="true" outlineLevel="0" collapsed="false">
      <c r="A16" s="12" t="n">
        <v>12</v>
      </c>
      <c r="B16" s="13" t="s">
        <v>105</v>
      </c>
      <c r="C16" s="20" t="n">
        <f aca="false">Estrutura_Setorial!D27</f>
        <v>0.322561</v>
      </c>
      <c r="D16" s="15" t="s">
        <v>106</v>
      </c>
      <c r="E16" s="15" t="s">
        <v>64</v>
      </c>
      <c r="F16" s="16" t="n">
        <f aca="false">Estrutura_Setorial!E27</f>
        <v>2013</v>
      </c>
      <c r="G16" s="15" t="s">
        <v>92</v>
      </c>
      <c r="H16" s="15" t="s">
        <v>24</v>
      </c>
      <c r="I16" s="15" t="s">
        <v>101</v>
      </c>
    </row>
    <row r="17" customFormat="false" ht="30" hidden="false" customHeight="true" outlineLevel="0" collapsed="false">
      <c r="A17" s="12" t="n">
        <v>13</v>
      </c>
      <c r="B17" s="13" t="s">
        <v>107</v>
      </c>
      <c r="C17" s="20" t="n">
        <f aca="false">INDEX(fato_PIB!$AD$2:$AD$23,MATCH('LEIA-ME'!$B$11,fato_PIB!$A$2:$A$23,0))/100</f>
        <v>0.141152</v>
      </c>
      <c r="D17" s="15" t="s">
        <v>108</v>
      </c>
      <c r="E17" s="15" t="s">
        <v>64</v>
      </c>
      <c r="F17" s="16" t="n">
        <f aca="false">'LEIA-ME'!$B$11</f>
        <v>2021</v>
      </c>
      <c r="G17" s="15" t="s">
        <v>109</v>
      </c>
      <c r="H17" s="15" t="s">
        <v>24</v>
      </c>
      <c r="I17" s="15" t="s">
        <v>66</v>
      </c>
    </row>
    <row r="18" customFormat="false" ht="30" hidden="false" customHeight="true" outlineLevel="0" collapsed="false">
      <c r="A18" s="12" t="n">
        <v>14</v>
      </c>
      <c r="B18" s="13" t="s">
        <v>110</v>
      </c>
      <c r="C18" s="14" t="n">
        <f aca="false">Cruzamento_RAIS!B17</f>
        <v>285.222888806716</v>
      </c>
      <c r="D18" s="15" t="s">
        <v>111</v>
      </c>
      <c r="E18" s="15" t="s">
        <v>112</v>
      </c>
      <c r="F18" s="24" t="n">
        <f aca="false">Cruzamento_RAIS!B16</f>
        <v>296.997944049111</v>
      </c>
      <c r="G18" s="15" t="s">
        <v>113</v>
      </c>
      <c r="H18" s="15" t="s">
        <v>28</v>
      </c>
      <c r="I18" s="15" t="s">
        <v>66</v>
      </c>
    </row>
    <row r="19" customFormat="false" ht="30" hidden="false" customHeight="true" outlineLevel="0" collapsed="false">
      <c r="A19" s="12" t="n">
        <v>15</v>
      </c>
      <c r="B19" s="13" t="s">
        <v>114</v>
      </c>
      <c r="C19" s="20" t="n">
        <f aca="false">Cruzamento_RAIS!C8</f>
        <v>0.247957352322257</v>
      </c>
      <c r="D19" s="15" t="s">
        <v>115</v>
      </c>
      <c r="E19" s="15" t="s">
        <v>116</v>
      </c>
      <c r="F19" s="23" t="n">
        <f aca="false">Cruzamento_RAIS!D8</f>
        <v>0.423905</v>
      </c>
      <c r="G19" s="15" t="s">
        <v>117</v>
      </c>
      <c r="H19" s="15" t="s">
        <v>28</v>
      </c>
      <c r="I19" s="15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36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8"/>
  </cols>
  <sheetData>
    <row r="1" customFormat="false" ht="17.3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4" customFormat="false" ht="23.85" hidden="false" customHeight="false" outlineLevel="0" collapsed="false">
      <c r="A4" s="10" t="s">
        <v>64</v>
      </c>
      <c r="B4" s="10" t="s">
        <v>121</v>
      </c>
      <c r="C4" s="10" t="s">
        <v>122</v>
      </c>
      <c r="D4" s="10" t="s">
        <v>123</v>
      </c>
      <c r="E4" s="10" t="s">
        <v>124</v>
      </c>
      <c r="F4" s="10" t="s">
        <v>125</v>
      </c>
      <c r="G4" s="10" t="s">
        <v>126</v>
      </c>
      <c r="H4" s="10" t="s">
        <v>127</v>
      </c>
      <c r="I4" s="10" t="s">
        <v>5</v>
      </c>
      <c r="J4" s="10" t="s">
        <v>128</v>
      </c>
      <c r="K4" s="10" t="s">
        <v>129</v>
      </c>
    </row>
    <row r="5" customFormat="false" ht="15" hidden="false" customHeight="false" outlineLevel="0" collapsed="false">
      <c r="A5" s="5" t="n">
        <f aca="false">fato_PIB!A2</f>
        <v>2002</v>
      </c>
      <c r="B5" s="25" t="n">
        <f aca="false">fato_PIB!B2/1000000000</f>
        <v>13.335899</v>
      </c>
      <c r="C5" s="25" t="n">
        <f aca="false">fato_PIB!N2/1000000000</f>
        <v>44.2888559840537</v>
      </c>
      <c r="D5" s="26" t="str">
        <f aca="false">IF(fato_PIB!U2="","",fato_PIB!U2/100)</f>
        <v/>
      </c>
      <c r="E5" s="26" t="str">
        <f aca="false">IF(fato_PIB!V2="","",fato_PIB!V2/100)</f>
        <v/>
      </c>
      <c r="F5" s="27" t="n">
        <f aca="false">fato_PIB!W2</f>
        <v>80.8343</v>
      </c>
      <c r="G5" s="28" t="n">
        <f aca="false">fato_PIB!J2</f>
        <v>559710</v>
      </c>
      <c r="H5" s="4" t="str">
        <f aca="false">fato_PIB!K2</f>
        <v>Estimativas da População (tab. 6579)</v>
      </c>
      <c r="I5" s="28" t="n">
        <f aca="false">fato_PIB!X2</f>
        <v>23826.4441</v>
      </c>
      <c r="J5" s="28" t="n">
        <f aca="false">fato_PIB!Y2</f>
        <v>79128.2199</v>
      </c>
      <c r="K5" s="4" t="str">
        <f aca="false">fato_PIB!I2</f>
        <v>Completo</v>
      </c>
    </row>
    <row r="6" customFormat="false" ht="15" hidden="false" customHeight="false" outlineLevel="0" collapsed="false">
      <c r="A6" s="5" t="n">
        <f aca="false">fato_PIB!A3</f>
        <v>2003</v>
      </c>
      <c r="B6" s="25" t="n">
        <f aca="false">fato_PIB!B3/1000000000</f>
        <v>15.87102</v>
      </c>
      <c r="C6" s="25" t="n">
        <f aca="false">fato_PIB!N3/1000000000</f>
        <v>48.2232905624102</v>
      </c>
      <c r="D6" s="26" t="n">
        <f aca="false">IF(fato_PIB!U3="","",fato_PIB!U3/100)</f>
        <v>0.190097</v>
      </c>
      <c r="E6" s="26" t="n">
        <f aca="false">IF(fato_PIB!V3="","",fato_PIB!V3/100)</f>
        <v>0.088836</v>
      </c>
      <c r="F6" s="27" t="n">
        <f aca="false">fato_PIB!W3</f>
        <v>88.0152</v>
      </c>
      <c r="G6" s="28" t="n">
        <f aca="false">fato_PIB!J3</f>
        <v>569177</v>
      </c>
      <c r="H6" s="4" t="str">
        <f aca="false">fato_PIB!K3</f>
        <v>Estimativas da População (tab. 6579)</v>
      </c>
      <c r="I6" s="28" t="n">
        <f aca="false">fato_PIB!X3</f>
        <v>27884.1555</v>
      </c>
      <c r="J6" s="28" t="n">
        <f aca="false">fato_PIB!Y3</f>
        <v>84724.5946</v>
      </c>
      <c r="K6" s="4" t="str">
        <f aca="false">fato_PIB!I3</f>
        <v>Completo</v>
      </c>
    </row>
    <row r="7" customFormat="false" ht="15" hidden="false" customHeight="false" outlineLevel="0" collapsed="false">
      <c r="A7" s="5" t="n">
        <f aca="false">fato_PIB!A4</f>
        <v>2004</v>
      </c>
      <c r="B7" s="25" t="n">
        <f aca="false">fato_PIB!B4/1000000000</f>
        <v>18.673609</v>
      </c>
      <c r="C7" s="25" t="n">
        <f aca="false">fato_PIB!N4/1000000000</f>
        <v>52.7312409999588</v>
      </c>
      <c r="D7" s="26" t="n">
        <f aca="false">IF(fato_PIB!U4="","",fato_PIB!U4/100)</f>
        <v>0.176585</v>
      </c>
      <c r="E7" s="26" t="n">
        <f aca="false">IF(fato_PIB!V4="","",fato_PIB!V4/100)</f>
        <v>0.093481</v>
      </c>
      <c r="F7" s="27" t="n">
        <f aca="false">fato_PIB!W4</f>
        <v>96.243</v>
      </c>
      <c r="G7" s="28" t="n">
        <f aca="false">fato_PIB!J4</f>
        <v>589050</v>
      </c>
      <c r="H7" s="4" t="str">
        <f aca="false">fato_PIB!K4</f>
        <v>Estimativas da População (tab. 6579)</v>
      </c>
      <c r="I7" s="28" t="n">
        <f aca="false">fato_PIB!X4</f>
        <v>31701.2291</v>
      </c>
      <c r="J7" s="28" t="n">
        <f aca="false">fato_PIB!Y4</f>
        <v>89519.1257</v>
      </c>
      <c r="K7" s="4" t="str">
        <f aca="false">fato_PIB!I4</f>
        <v>Completo</v>
      </c>
    </row>
    <row r="8" customFormat="false" ht="15" hidden="false" customHeight="false" outlineLevel="0" collapsed="false">
      <c r="A8" s="5" t="n">
        <f aca="false">fato_PIB!A5</f>
        <v>2005</v>
      </c>
      <c r="B8" s="25" t="n">
        <f aca="false">fato_PIB!B5/1000000000</f>
        <v>18.461686</v>
      </c>
      <c r="C8" s="25" t="n">
        <f aca="false">fato_PIB!N5/1000000000</f>
        <v>49.3261470754803</v>
      </c>
      <c r="D8" s="26" t="n">
        <f aca="false">IF(fato_PIB!U5="","",fato_PIB!U5/100)</f>
        <v>-0.011349</v>
      </c>
      <c r="E8" s="26" t="n">
        <f aca="false">IF(fato_PIB!V5="","",fato_PIB!V5/100)</f>
        <v>-0.064575</v>
      </c>
      <c r="F8" s="27" t="n">
        <f aca="false">fato_PIB!W5</f>
        <v>90.0281</v>
      </c>
      <c r="G8" s="28" t="n">
        <f aca="false">fato_PIB!J5</f>
        <v>600049</v>
      </c>
      <c r="H8" s="4" t="str">
        <f aca="false">fato_PIB!K5</f>
        <v>Estimativas da População (tab. 6579)</v>
      </c>
      <c r="I8" s="28" t="n">
        <f aca="false">fato_PIB!X5</f>
        <v>30766.964</v>
      </c>
      <c r="J8" s="28" t="n">
        <f aca="false">fato_PIB!Y5</f>
        <v>82203.5318</v>
      </c>
      <c r="K8" s="4" t="str">
        <f aca="false">fato_PIB!I5</f>
        <v>Completo</v>
      </c>
    </row>
    <row r="9" customFormat="false" ht="15" hidden="false" customHeight="false" outlineLevel="0" collapsed="false">
      <c r="A9" s="5" t="n">
        <f aca="false">fato_PIB!A6</f>
        <v>2006</v>
      </c>
      <c r="B9" s="25" t="n">
        <f aca="false">fato_PIB!B6/1000000000</f>
        <v>18.940246</v>
      </c>
      <c r="C9" s="25" t="n">
        <f aca="false">fato_PIB!N6/1000000000</f>
        <v>49.0641547815094</v>
      </c>
      <c r="D9" s="26" t="n">
        <f aca="false">IF(fato_PIB!U6="","",fato_PIB!U6/100)</f>
        <v>0.025922</v>
      </c>
      <c r="E9" s="26" t="n">
        <f aca="false">IF(fato_PIB!V6="","",fato_PIB!V6/100)</f>
        <v>-0.005311</v>
      </c>
      <c r="F9" s="27" t="n">
        <f aca="false">fato_PIB!W6</f>
        <v>89.55</v>
      </c>
      <c r="G9" s="28" t="n">
        <f aca="false">fato_PIB!J6</f>
        <v>610965</v>
      </c>
      <c r="H9" s="4" t="str">
        <f aca="false">fato_PIB!K6</f>
        <v>Estimativas da População (tab. 6579)</v>
      </c>
      <c r="I9" s="28" t="n">
        <f aca="false">fato_PIB!X6</f>
        <v>31000.5418</v>
      </c>
      <c r="J9" s="28" t="n">
        <f aca="false">fato_PIB!Y6</f>
        <v>80305.9992</v>
      </c>
      <c r="K9" s="4" t="str">
        <f aca="false">fato_PIB!I6</f>
        <v>Completo</v>
      </c>
    </row>
    <row r="10" customFormat="false" ht="15" hidden="false" customHeight="false" outlineLevel="0" collapsed="false">
      <c r="A10" s="5" t="n">
        <f aca="false">fato_PIB!A7</f>
        <v>2007</v>
      </c>
      <c r="B10" s="25" t="n">
        <f aca="false">fato_PIB!B7/1000000000</f>
        <v>21.861254</v>
      </c>
      <c r="C10" s="25" t="n">
        <f aca="false">fato_PIB!N7/1000000000</f>
        <v>54.2130392500019</v>
      </c>
      <c r="D10" s="26" t="n">
        <f aca="false">IF(fato_PIB!U7="","",fato_PIB!U7/100)</f>
        <v>0.154222</v>
      </c>
      <c r="E10" s="26" t="n">
        <f aca="false">IF(fato_PIB!V7="","",fato_PIB!V7/100)</f>
        <v>0.104942</v>
      </c>
      <c r="F10" s="27" t="n">
        <f aca="false">fato_PIB!W7</f>
        <v>98.9475</v>
      </c>
      <c r="G10" s="28" t="n">
        <f aca="false">fato_PIB!J7</f>
        <v>594948</v>
      </c>
      <c r="H10" s="4" t="str">
        <f aca="false">fato_PIB!K7</f>
        <v>Contagem da População 2007 (tab. 793)</v>
      </c>
      <c r="I10" s="28" t="n">
        <f aca="false">fato_PIB!X7</f>
        <v>36744.8147</v>
      </c>
      <c r="J10" s="28" t="n">
        <f aca="false">fato_PIB!Y7</f>
        <v>91122.3153</v>
      </c>
      <c r="K10" s="4" t="str">
        <f aca="false">fato_PIB!I7</f>
        <v>Completo</v>
      </c>
    </row>
    <row r="11" customFormat="false" ht="15" hidden="false" customHeight="false" outlineLevel="0" collapsed="false">
      <c r="A11" s="5" t="n">
        <f aca="false">fato_PIB!A8</f>
        <v>2008</v>
      </c>
      <c r="B11" s="25" t="n">
        <f aca="false">fato_PIB!B8/1000000000</f>
        <v>24.884337</v>
      </c>
      <c r="C11" s="25" t="n">
        <f aca="false">fato_PIB!N8/1000000000</f>
        <v>58.271849026882</v>
      </c>
      <c r="D11" s="26" t="n">
        <f aca="false">IF(fato_PIB!U8="","",fato_PIB!U8/100)</f>
        <v>0.138285</v>
      </c>
      <c r="E11" s="26" t="n">
        <f aca="false">IF(fato_PIB!V8="","",fato_PIB!V8/100)</f>
        <v>0.074868</v>
      </c>
      <c r="F11" s="27" t="n">
        <f aca="false">fato_PIB!W8</f>
        <v>106.3555</v>
      </c>
      <c r="G11" s="28" t="n">
        <f aca="false">fato_PIB!J8</f>
        <v>609229</v>
      </c>
      <c r="H11" s="4" t="str">
        <f aca="false">fato_PIB!K8</f>
        <v>Estimativas da População (tab. 6579)</v>
      </c>
      <c r="I11" s="28" t="n">
        <f aca="false">fato_PIB!X8</f>
        <v>40845.6213</v>
      </c>
      <c r="J11" s="28" t="n">
        <f aca="false">fato_PIB!Y8</f>
        <v>95648.5148</v>
      </c>
      <c r="K11" s="4" t="str">
        <f aca="false">fato_PIB!I8</f>
        <v>Completo</v>
      </c>
    </row>
    <row r="12" customFormat="false" ht="15" hidden="false" customHeight="false" outlineLevel="0" collapsed="false">
      <c r="A12" s="5" t="n">
        <f aca="false">fato_PIB!A9</f>
        <v>2009</v>
      </c>
      <c r="B12" s="25" t="n">
        <f aca="false">fato_PIB!B9/1000000000</f>
        <v>24.566242</v>
      </c>
      <c r="C12" s="25" t="n">
        <f aca="false">fato_PIB!N9/1000000000</f>
        <v>55.1499985103989</v>
      </c>
      <c r="D12" s="26" t="n">
        <f aca="false">IF(fato_PIB!U9="","",fato_PIB!U9/100)</f>
        <v>-0.012783</v>
      </c>
      <c r="E12" s="26" t="n">
        <f aca="false">IF(fato_PIB!V9="","",fato_PIB!V9/100)</f>
        <v>-0.053574</v>
      </c>
      <c r="F12" s="27" t="n">
        <f aca="false">fato_PIB!W9</f>
        <v>100.6576</v>
      </c>
      <c r="G12" s="28" t="n">
        <f aca="false">fato_PIB!J9</f>
        <v>615871</v>
      </c>
      <c r="H12" s="4" t="str">
        <f aca="false">fato_PIB!K9</f>
        <v>Estimativas da População (tab. 6579)</v>
      </c>
      <c r="I12" s="28" t="n">
        <f aca="false">fato_PIB!X9</f>
        <v>39888.6163</v>
      </c>
      <c r="J12" s="28" t="n">
        <f aca="false">fato_PIB!Y9</f>
        <v>89547.9711</v>
      </c>
      <c r="K12" s="4" t="str">
        <f aca="false">fato_PIB!I9</f>
        <v>Completo</v>
      </c>
    </row>
    <row r="13" customFormat="false" ht="15" hidden="false" customHeight="false" outlineLevel="0" collapsed="false">
      <c r="A13" s="5" t="n">
        <f aca="false">fato_PIB!A10</f>
        <v>2010</v>
      </c>
      <c r="B13" s="25" t="n">
        <f aca="false">fato_PIB!B10/1000000000</f>
        <v>25.84813</v>
      </c>
      <c r="C13" s="25" t="n">
        <f aca="false">fato_PIB!N10/1000000000</f>
        <v>54.7897022775342</v>
      </c>
      <c r="D13" s="26" t="n">
        <f aca="false">IF(fato_PIB!U10="","",fato_PIB!U10/100)</f>
        <v>0.052181</v>
      </c>
      <c r="E13" s="26" t="n">
        <f aca="false">IF(fato_PIB!V10="","",fato_PIB!V10/100)</f>
        <v>-0.006533</v>
      </c>
      <c r="F13" s="27" t="n">
        <f aca="false">fato_PIB!W10</f>
        <v>100</v>
      </c>
      <c r="G13" s="28" t="n">
        <f aca="false">fato_PIB!J10</f>
        <v>629921</v>
      </c>
      <c r="H13" s="4" t="str">
        <f aca="false">fato_PIB!K10</f>
        <v>Censo 2010 (tab. 1378)</v>
      </c>
      <c r="I13" s="28" t="n">
        <f aca="false">fato_PIB!X10</f>
        <v>41033.9233</v>
      </c>
      <c r="J13" s="28" t="n">
        <f aca="false">fato_PIB!Y10</f>
        <v>86978.6882</v>
      </c>
      <c r="K13" s="4" t="str">
        <f aca="false">fato_PIB!I10</f>
        <v>Completo</v>
      </c>
    </row>
    <row r="14" customFormat="false" ht="15" hidden="false" customHeight="false" outlineLevel="0" collapsed="false">
      <c r="A14" s="5" t="n">
        <f aca="false">fato_PIB!A11</f>
        <v>2011</v>
      </c>
      <c r="B14" s="25" t="n">
        <f aca="false">fato_PIB!B11/1000000000</f>
        <v>25.51874</v>
      </c>
      <c r="C14" s="25" t="n">
        <f aca="false">fato_PIB!N11/1000000000</f>
        <v>50.7901424144688</v>
      </c>
      <c r="D14" s="26" t="n">
        <f aca="false">IF(fato_PIB!U11="","",fato_PIB!U11/100)</f>
        <v>-0.012743</v>
      </c>
      <c r="E14" s="26" t="n">
        <f aca="false">IF(fato_PIB!V11="","",fato_PIB!V11/100)</f>
        <v>-0.072998</v>
      </c>
      <c r="F14" s="27" t="n">
        <f aca="false">fato_PIB!W11</f>
        <v>92.7002</v>
      </c>
      <c r="G14" s="28" t="n">
        <f aca="false">fato_PIB!J11</f>
        <v>636876</v>
      </c>
      <c r="H14" s="4" t="str">
        <f aca="false">fato_PIB!K11</f>
        <v>Estimativas da População (tab. 6579)</v>
      </c>
      <c r="I14" s="28" t="n">
        <f aca="false">fato_PIB!X11</f>
        <v>40068.6162</v>
      </c>
      <c r="J14" s="28" t="n">
        <f aca="false">fato_PIB!Y11</f>
        <v>79748.8717</v>
      </c>
      <c r="K14" s="4" t="str">
        <f aca="false">fato_PIB!I11</f>
        <v>Completo</v>
      </c>
    </row>
    <row r="15" customFormat="false" ht="15" hidden="false" customHeight="false" outlineLevel="0" collapsed="false">
      <c r="A15" s="5" t="n">
        <f aca="false">fato_PIB!A12</f>
        <v>2012</v>
      </c>
      <c r="B15" s="25" t="n">
        <f aca="false">fato_PIB!B12/1000000000</f>
        <v>26.584749</v>
      </c>
      <c r="C15" s="25" t="n">
        <f aca="false">fato_PIB!N12/1000000000</f>
        <v>49.992279137644</v>
      </c>
      <c r="D15" s="26" t="n">
        <f aca="false">IF(fato_PIB!U12="","",fato_PIB!U12/100)</f>
        <v>0.041774</v>
      </c>
      <c r="E15" s="26" t="n">
        <f aca="false">IF(fato_PIB!V12="","",fato_PIB!V12/100)</f>
        <v>-0.015709</v>
      </c>
      <c r="F15" s="27" t="n">
        <f aca="false">fato_PIB!W12</f>
        <v>91.2439</v>
      </c>
      <c r="G15" s="28" t="n">
        <f aca="false">fato_PIB!J12</f>
        <v>643603</v>
      </c>
      <c r="H15" s="4" t="str">
        <f aca="false">fato_PIB!K12</f>
        <v>Estimativas da População (tab. 6579)</v>
      </c>
      <c r="I15" s="28" t="n">
        <f aca="false">fato_PIB!X12</f>
        <v>41306.1297</v>
      </c>
      <c r="J15" s="28" t="n">
        <f aca="false">fato_PIB!Y12</f>
        <v>77675.6465</v>
      </c>
      <c r="K15" s="4" t="str">
        <f aca="false">fato_PIB!I12</f>
        <v>Completo</v>
      </c>
    </row>
    <row r="16" customFormat="false" ht="15" hidden="false" customHeight="false" outlineLevel="0" collapsed="false">
      <c r="A16" s="5" t="n">
        <f aca="false">fato_PIB!A13</f>
        <v>2013</v>
      </c>
      <c r="B16" s="25" t="n">
        <f aca="false">fato_PIB!B13/1000000000</f>
        <v>28.2901</v>
      </c>
      <c r="C16" s="25" t="n">
        <f aca="false">fato_PIB!N13/1000000000</f>
        <v>50.2305446094613</v>
      </c>
      <c r="D16" s="26" t="n">
        <f aca="false">IF(fato_PIB!U13="","",fato_PIB!U13/100)</f>
        <v>0.064148</v>
      </c>
      <c r="E16" s="26" t="n">
        <f aca="false">IF(fato_PIB!V13="","",fato_PIB!V13/100)</f>
        <v>0.004766</v>
      </c>
      <c r="F16" s="27" t="n">
        <f aca="false">fato_PIB!W13</f>
        <v>91.6788</v>
      </c>
      <c r="G16" s="28" t="n">
        <f aca="false">fato_PIB!J13</f>
        <v>673255</v>
      </c>
      <c r="H16" s="4" t="str">
        <f aca="false">fato_PIB!K13</f>
        <v>Estimativas da População (tab. 6579)</v>
      </c>
      <c r="I16" s="28" t="n">
        <f aca="false">fato_PIB!X13</f>
        <v>42019.8885</v>
      </c>
      <c r="J16" s="28" t="n">
        <f aca="false">fato_PIB!Y13</f>
        <v>74608.4984</v>
      </c>
      <c r="K16" s="4" t="str">
        <f aca="false">fato_PIB!I13</f>
        <v>Completo</v>
      </c>
    </row>
    <row r="17" customFormat="false" ht="15" hidden="false" customHeight="false" outlineLevel="0" collapsed="false">
      <c r="A17" s="5" t="n">
        <f aca="false">fato_PIB!A14</f>
        <v>2014</v>
      </c>
      <c r="B17" s="25" t="n">
        <f aca="false">fato_PIB!B14/1000000000</f>
        <v>30.343668</v>
      </c>
      <c r="C17" s="25" t="n">
        <f aca="false">fato_PIB!N14/1000000000</f>
        <v>50.6312954137004</v>
      </c>
      <c r="D17" s="26" t="n">
        <f aca="false">IF(fato_PIB!U14="","",fato_PIB!U14/100)</f>
        <v>0.07259</v>
      </c>
      <c r="E17" s="26" t="n">
        <f aca="false">IF(fato_PIB!V14="","",fato_PIB!V14/100)</f>
        <v>0.007978</v>
      </c>
      <c r="F17" s="27" t="n">
        <f aca="false">fato_PIB!W14</f>
        <v>92.4102</v>
      </c>
      <c r="G17" s="28" t="n">
        <f aca="false">fato_PIB!J14</f>
        <v>681036</v>
      </c>
      <c r="H17" s="4" t="str">
        <f aca="false">fato_PIB!K14</f>
        <v>Estimativas da População (tab. 6579)</v>
      </c>
      <c r="I17" s="28" t="n">
        <f aca="false">fato_PIB!X14</f>
        <v>44555.1601</v>
      </c>
      <c r="J17" s="28" t="n">
        <f aca="false">fato_PIB!Y14</f>
        <v>74344.5213</v>
      </c>
      <c r="K17" s="4" t="str">
        <f aca="false">fato_PIB!I14</f>
        <v>Completo</v>
      </c>
    </row>
    <row r="18" customFormat="false" ht="15" hidden="false" customHeight="false" outlineLevel="0" collapsed="false">
      <c r="A18" s="5" t="n">
        <f aca="false">fato_PIB!A15</f>
        <v>2015</v>
      </c>
      <c r="B18" s="25" t="n">
        <f aca="false">fato_PIB!B15/1000000000</f>
        <v>33.889622</v>
      </c>
      <c r="C18" s="25" t="n">
        <f aca="false">fato_PIB!N15/1000000000</f>
        <v>51.096102687899</v>
      </c>
      <c r="D18" s="26" t="n">
        <f aca="false">IF(fato_PIB!U15="","",fato_PIB!U15/100)</f>
        <v>0.11686</v>
      </c>
      <c r="E18" s="26" t="n">
        <f aca="false">IF(fato_PIB!V15="","",fato_PIB!V15/100)</f>
        <v>0.00918</v>
      </c>
      <c r="F18" s="27" t="n">
        <f aca="false">fato_PIB!W15</f>
        <v>93.2586</v>
      </c>
      <c r="G18" s="28" t="n">
        <f aca="false">fato_PIB!J15</f>
        <v>688597</v>
      </c>
      <c r="H18" s="4" t="str">
        <f aca="false">fato_PIB!K15</f>
        <v>Estimativas da População (tab. 6579)</v>
      </c>
      <c r="I18" s="28" t="n">
        <f aca="false">fato_PIB!X15</f>
        <v>49215.4656</v>
      </c>
      <c r="J18" s="28" t="n">
        <f aca="false">fato_PIB!Y15</f>
        <v>74203.2026</v>
      </c>
      <c r="K18" s="4" t="str">
        <f aca="false">fato_PIB!I15</f>
        <v>Completo</v>
      </c>
    </row>
    <row r="19" customFormat="false" ht="15" hidden="false" customHeight="false" outlineLevel="0" collapsed="false">
      <c r="A19" s="5" t="n">
        <f aca="false">fato_PIB!A16</f>
        <v>2016</v>
      </c>
      <c r="B19" s="25" t="n">
        <f aca="false">fato_PIB!B16/1000000000</f>
        <v>41.630243</v>
      </c>
      <c r="C19" s="25" t="n">
        <f aca="false">fato_PIB!N16/1000000000</f>
        <v>59.0524050529761</v>
      </c>
      <c r="D19" s="26" t="n">
        <f aca="false">IF(fato_PIB!U16="","",fato_PIB!U16/100)</f>
        <v>0.228407</v>
      </c>
      <c r="E19" s="26" t="n">
        <f aca="false">IF(fato_PIB!V16="","",fato_PIB!V16/100)</f>
        <v>0.155713</v>
      </c>
      <c r="F19" s="27" t="n">
        <f aca="false">fato_PIB!W16</f>
        <v>107.7801</v>
      </c>
      <c r="G19" s="28" t="n">
        <f aca="false">fato_PIB!J16</f>
        <v>695992</v>
      </c>
      <c r="H19" s="4" t="str">
        <f aca="false">fato_PIB!K16</f>
        <v>Estimativas da População (tab. 6579)</v>
      </c>
      <c r="I19" s="28" t="n">
        <f aca="false">fato_PIB!X16</f>
        <v>59814.255</v>
      </c>
      <c r="J19" s="28" t="n">
        <f aca="false">fato_PIB!Y16</f>
        <v>84846.3848</v>
      </c>
      <c r="K19" s="4" t="str">
        <f aca="false">fato_PIB!I16</f>
        <v>Completo</v>
      </c>
    </row>
    <row r="20" customFormat="false" ht="15" hidden="false" customHeight="false" outlineLevel="0" collapsed="false">
      <c r="A20" s="5" t="n">
        <f aca="false">fato_PIB!A17</f>
        <v>2017</v>
      </c>
      <c r="B20" s="25" t="n">
        <f aca="false">fato_PIB!B17/1000000000</f>
        <v>39.396425</v>
      </c>
      <c r="C20" s="25" t="n">
        <f aca="false">fato_PIB!N17/1000000000</f>
        <v>54.2824082548379</v>
      </c>
      <c r="D20" s="26" t="n">
        <f aca="false">IF(fato_PIB!U17="","",fato_PIB!U17/100)</f>
        <v>-0.053659</v>
      </c>
      <c r="E20" s="26" t="n">
        <f aca="false">IF(fato_PIB!V17="","",fato_PIB!V17/100)</f>
        <v>-0.080776</v>
      </c>
      <c r="F20" s="27" t="n">
        <f aca="false">fato_PIB!W17</f>
        <v>99.0741</v>
      </c>
      <c r="G20" s="28" t="n">
        <f aca="false">fato_PIB!J17</f>
        <v>703219</v>
      </c>
      <c r="H20" s="4" t="str">
        <f aca="false">fato_PIB!K17</f>
        <v>Estimativas da População (tab. 6579)</v>
      </c>
      <c r="I20" s="28" t="n">
        <f aca="false">fato_PIB!X17</f>
        <v>56022.9815</v>
      </c>
      <c r="J20" s="28" t="n">
        <f aca="false">fato_PIB!Y17</f>
        <v>77191.3277</v>
      </c>
      <c r="K20" s="4" t="str">
        <f aca="false">fato_PIB!I17</f>
        <v>Completo</v>
      </c>
    </row>
    <row r="21" customFormat="false" ht="15" hidden="false" customHeight="false" outlineLevel="0" collapsed="false">
      <c r="A21" s="5" t="n">
        <f aca="false">fato_PIB!A18</f>
        <v>2018</v>
      </c>
      <c r="B21" s="25" t="n">
        <f aca="false">fato_PIB!B18/1000000000</f>
        <v>39.694815</v>
      </c>
      <c r="C21" s="25" t="n">
        <f aca="false">fato_PIB!N18/1000000000</f>
        <v>52.7166701205928</v>
      </c>
      <c r="D21" s="26" t="n">
        <f aca="false">IF(fato_PIB!U18="","",fato_PIB!U18/100)</f>
        <v>0.007574</v>
      </c>
      <c r="E21" s="26" t="n">
        <f aca="false">IF(fato_PIB!V18="","",fato_PIB!V18/100)</f>
        <v>-0.028844</v>
      </c>
      <c r="F21" s="27" t="n">
        <f aca="false">fato_PIB!W18</f>
        <v>96.2164</v>
      </c>
      <c r="G21" s="28" t="n">
        <f aca="false">fato_PIB!J18</f>
        <v>713943</v>
      </c>
      <c r="H21" s="4" t="str">
        <f aca="false">fato_PIB!K18</f>
        <v>Estimativas da População (tab. 6579)</v>
      </c>
      <c r="I21" s="28" t="n">
        <f aca="false">fato_PIB!X18</f>
        <v>55599.4176</v>
      </c>
      <c r="J21" s="28" t="n">
        <f aca="false">fato_PIB!Y18</f>
        <v>73838.766</v>
      </c>
      <c r="K21" s="4" t="str">
        <f aca="false">fato_PIB!I18</f>
        <v>Completo</v>
      </c>
    </row>
    <row r="22" customFormat="false" ht="15" hidden="false" customHeight="false" outlineLevel="0" collapsed="false">
      <c r="A22" s="5" t="n">
        <f aca="false">fato_PIB!A19</f>
        <v>2019</v>
      </c>
      <c r="B22" s="25" t="n">
        <f aca="false">fato_PIB!B19/1000000000</f>
        <v>43.56228</v>
      </c>
      <c r="C22" s="25" t="n">
        <f aca="false">fato_PIB!N19/1000000000</f>
        <v>55.4624237313813</v>
      </c>
      <c r="D22" s="26" t="n">
        <f aca="false">IF(fato_PIB!U19="","",fato_PIB!U19/100)</f>
        <v>0.09743</v>
      </c>
      <c r="E22" s="26" t="n">
        <f aca="false">IF(fato_PIB!V19="","",fato_PIB!V19/100)</f>
        <v>0.052085</v>
      </c>
      <c r="F22" s="27" t="n">
        <f aca="false">fato_PIB!W19</f>
        <v>101.2278</v>
      </c>
      <c r="G22" s="28" t="n">
        <f aca="false">fato_PIB!J19</f>
        <v>721944</v>
      </c>
      <c r="H22" s="4" t="str">
        <f aca="false">fato_PIB!K19</f>
        <v>Estimativas da População (tab. 6579)</v>
      </c>
      <c r="I22" s="28" t="n">
        <f aca="false">fato_PIB!X19</f>
        <v>60340.248</v>
      </c>
      <c r="J22" s="28" t="n">
        <f aca="false">fato_PIB!Y19</f>
        <v>76823.72</v>
      </c>
      <c r="K22" s="4" t="str">
        <f aca="false">fato_PIB!I19</f>
        <v>Completo</v>
      </c>
    </row>
    <row r="23" customFormat="false" ht="15" hidden="false" customHeight="false" outlineLevel="0" collapsed="false">
      <c r="A23" s="5" t="n">
        <f aca="false">fato_PIB!A20</f>
        <v>2020</v>
      </c>
      <c r="B23" s="25" t="n">
        <f aca="false">fato_PIB!B20/1000000000</f>
        <v>39.363729</v>
      </c>
      <c r="C23" s="25" t="n">
        <f aca="false">fato_PIB!N20/1000000000</f>
        <v>47.9496094885965</v>
      </c>
      <c r="D23" s="26" t="n">
        <f aca="false">IF(fato_PIB!U20="","",fato_PIB!U20/100)</f>
        <v>-0.09638</v>
      </c>
      <c r="E23" s="26" t="n">
        <f aca="false">IF(fato_PIB!V20="","",fato_PIB!V20/100)</f>
        <v>-0.135458</v>
      </c>
      <c r="F23" s="27" t="n">
        <f aca="false">fato_PIB!W20</f>
        <v>87.5157</v>
      </c>
      <c r="G23" s="28" t="n">
        <f aca="false">fato_PIB!J20</f>
        <v>729737</v>
      </c>
      <c r="H23" s="4" t="str">
        <f aca="false">fato_PIB!K20</f>
        <v>Estimativas da População (tab. 6579)</v>
      </c>
      <c r="I23" s="28" t="n">
        <f aca="false">fato_PIB!X20</f>
        <v>53942.3505</v>
      </c>
      <c r="J23" s="28" t="n">
        <f aca="false">fato_PIB!Y20</f>
        <v>65708.0695</v>
      </c>
      <c r="K23" s="4" t="str">
        <f aca="false">fato_PIB!I20</f>
        <v>Completo</v>
      </c>
    </row>
    <row r="24" customFormat="false" ht="15" hidden="false" customHeight="false" outlineLevel="0" collapsed="false">
      <c r="A24" s="5" t="n">
        <f aca="false">fato_PIB!A21</f>
        <v>2021</v>
      </c>
      <c r="B24" s="25" t="n">
        <f aca="false">fato_PIB!B21/1000000000</f>
        <v>45.208808</v>
      </c>
      <c r="C24" s="25" t="n">
        <f aca="false">fato_PIB!N21/1000000000</f>
        <v>50.0359775700238</v>
      </c>
      <c r="D24" s="26" t="n">
        <f aca="false">IF(fato_PIB!U21="","",fato_PIB!U21/100)</f>
        <v>0.148489</v>
      </c>
      <c r="E24" s="26" t="n">
        <f aca="false">IF(fato_PIB!V21="","",fato_PIB!V21/100)</f>
        <v>0.043512</v>
      </c>
      <c r="F24" s="27" t="n">
        <f aca="false">fato_PIB!W21</f>
        <v>91.3237</v>
      </c>
      <c r="G24" s="28" t="n">
        <f aca="false">fato_PIB!J21</f>
        <v>737310</v>
      </c>
      <c r="H24" s="4" t="str">
        <f aca="false">fato_PIB!K21</f>
        <v>Estimativas da População (tab. 6579)</v>
      </c>
      <c r="I24" s="28" t="n">
        <f aca="false">fato_PIB!X21</f>
        <v>61315.8753</v>
      </c>
      <c r="J24" s="28" t="n">
        <f aca="false">fato_PIB!Y21</f>
        <v>67862.8766</v>
      </c>
      <c r="K24" s="4" t="str">
        <f aca="false">fato_PIB!I21</f>
        <v>Completo</v>
      </c>
    </row>
    <row r="25" customFormat="false" ht="15" hidden="false" customHeight="false" outlineLevel="0" collapsed="false">
      <c r="A25" s="5" t="n">
        <f aca="false">fato_PIB!A22</f>
        <v>2022</v>
      </c>
      <c r="B25" s="25" t="n">
        <f aca="false">fato_PIB!B22/1000000000</f>
        <v>56.653327</v>
      </c>
      <c r="C25" s="25" t="n">
        <f aca="false">fato_PIB!N22/1000000000</f>
        <v>59.2707107074</v>
      </c>
      <c r="D25" s="26" t="n">
        <f aca="false">IF(fato_PIB!U22="","",fato_PIB!U22/100)</f>
        <v>0.253148</v>
      </c>
      <c r="E25" s="26" t="n">
        <f aca="false">IF(fato_PIB!V22="","",fato_PIB!V22/100)</f>
        <v>0.184562</v>
      </c>
      <c r="F25" s="27" t="n">
        <f aca="false">fato_PIB!W22</f>
        <v>108.1786</v>
      </c>
      <c r="G25" s="28" t="n">
        <f aca="false">fato_PIB!J22</f>
        <v>697054</v>
      </c>
      <c r="H25" s="4" t="str">
        <f aca="false">fato_PIB!K22</f>
        <v>Censo 2022 (tab. 4709)</v>
      </c>
      <c r="I25" s="28" t="n">
        <f aca="false">fato_PIB!X22</f>
        <v>81275.3775</v>
      </c>
      <c r="J25" s="28" t="n">
        <f aca="false">fato_PIB!Y22</f>
        <v>85030.3</v>
      </c>
      <c r="K25" s="4" t="str">
        <f aca="false">fato_PIB!I22</f>
        <v>Somente PIB total</v>
      </c>
    </row>
    <row r="26" customFormat="false" ht="15" hidden="false" customHeight="false" outlineLevel="0" collapsed="false">
      <c r="A26" s="5" t="n">
        <f aca="false">fato_PIB!A23</f>
        <v>2023</v>
      </c>
      <c r="B26" s="25" t="n">
        <f aca="false">fato_PIB!B23/1000000000</f>
        <v>61.394524</v>
      </c>
      <c r="C26" s="25" t="n">
        <f aca="false">fato_PIB!N23/1000000000</f>
        <v>61.394524</v>
      </c>
      <c r="D26" s="26" t="n">
        <f aca="false">IF(fato_PIB!U23="","",fato_PIB!U23/100)</f>
        <v>0.083688</v>
      </c>
      <c r="E26" s="26" t="n">
        <f aca="false">IF(fato_PIB!V23="","",fato_PIB!V23/100)</f>
        <v>0.035832</v>
      </c>
      <c r="F26" s="27" t="n">
        <f aca="false">fato_PIB!W23</f>
        <v>112.0549</v>
      </c>
      <c r="G26" s="28" t="n">
        <f aca="false">fato_PIB!J23</f>
        <v>710905</v>
      </c>
      <c r="H26" s="4" t="str">
        <f aca="false">fato_PIB!K23</f>
        <v>Interpolação linear (tratamento do projeto)</v>
      </c>
      <c r="I26" s="28" t="n">
        <f aca="false">fato_PIB!X23</f>
        <v>86361.0806</v>
      </c>
      <c r="J26" s="28" t="n">
        <f aca="false">fato_PIB!Y23</f>
        <v>86361.0806</v>
      </c>
      <c r="K26" s="4" t="str">
        <f aca="false">fato_PIB!I23</f>
        <v>Somente PIB total</v>
      </c>
    </row>
    <row r="28" customFormat="false" ht="15" hidden="false" customHeight="false" outlineLevel="0" collapsed="false">
      <c r="A28" s="2" t="s">
        <v>130</v>
      </c>
    </row>
    <row r="29" customFormat="false" ht="15" hidden="false" customHeight="false" outlineLevel="0" collapsed="false">
      <c r="A29" s="2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8" min="7" style="0" width="15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4" customFormat="false" ht="23.85" hidden="false" customHeight="false" outlineLevel="0" collapsed="false">
      <c r="A4" s="10" t="s">
        <v>64</v>
      </c>
      <c r="B4" s="10" t="s">
        <v>134</v>
      </c>
      <c r="C4" s="10" t="s">
        <v>135</v>
      </c>
      <c r="D4" s="10" t="s">
        <v>99</v>
      </c>
      <c r="E4" s="10" t="s">
        <v>136</v>
      </c>
      <c r="F4" s="10" t="s">
        <v>137</v>
      </c>
      <c r="G4" s="10" t="s">
        <v>138</v>
      </c>
      <c r="H4" s="10" t="s">
        <v>139</v>
      </c>
      <c r="I4" s="10" t="s">
        <v>140</v>
      </c>
    </row>
    <row r="5" customFormat="false" ht="15" hidden="false" customHeight="false" outlineLevel="0" collapsed="false">
      <c r="A5" s="5" t="n">
        <f aca="false">fato_PIB!A2</f>
        <v>2002</v>
      </c>
      <c r="B5" s="26" t="n">
        <f aca="false">fato_PIB!Z2/100</f>
        <v>0.000659</v>
      </c>
      <c r="C5" s="26" t="n">
        <f aca="false">fato_PIB!AA2/100</f>
        <v>0.527449</v>
      </c>
      <c r="D5" s="26" t="n">
        <f aca="false">fato_PIB!AB2/100</f>
        <v>0.406157</v>
      </c>
      <c r="E5" s="26" t="n">
        <f aca="false">fato_PIB!AC2/100</f>
        <v>0.065736</v>
      </c>
      <c r="F5" s="26" t="n">
        <f aca="false">SUM(B5:E5)</f>
        <v>1.000001</v>
      </c>
      <c r="G5" s="25" t="n">
        <f aca="false">fato_PIB!Q2/1000000000</f>
        <v>19.5767524891986</v>
      </c>
      <c r="H5" s="25" t="n">
        <f aca="false">fato_PIB!R2/1000000000</f>
        <v>15.0748803889574</v>
      </c>
      <c r="I5" s="26" t="n">
        <f aca="false">fato_PIB!AD2/100</f>
        <v>0.161958</v>
      </c>
    </row>
    <row r="6" customFormat="false" ht="15" hidden="false" customHeight="false" outlineLevel="0" collapsed="false">
      <c r="A6" s="5" t="n">
        <f aca="false">fato_PIB!A3</f>
        <v>2003</v>
      </c>
      <c r="B6" s="26" t="n">
        <f aca="false">fato_PIB!Z3/100</f>
        <v>0.001165</v>
      </c>
      <c r="C6" s="26" t="n">
        <f aca="false">fato_PIB!AA3/100</f>
        <v>0.562629</v>
      </c>
      <c r="D6" s="26" t="n">
        <f aca="false">fato_PIB!AB3/100</f>
        <v>0.375012</v>
      </c>
      <c r="E6" s="26" t="n">
        <f aca="false">fato_PIB!AC3/100</f>
        <v>0.061194</v>
      </c>
      <c r="F6" s="26" t="n">
        <f aca="false">SUM(B6:E6)</f>
        <v>1</v>
      </c>
      <c r="G6" s="25" t="n">
        <f aca="false">fato_PIB!Q3/1000000000</f>
        <v>23.3555818500441</v>
      </c>
      <c r="H6" s="25" t="n">
        <f aca="false">fato_PIB!R3/1000000000</f>
        <v>15.5673251430744</v>
      </c>
      <c r="I6" s="26" t="n">
        <f aca="false">fato_PIB!AD3/100</f>
        <v>0.139181</v>
      </c>
    </row>
    <row r="7" customFormat="false" ht="15" hidden="false" customHeight="false" outlineLevel="0" collapsed="false">
      <c r="A7" s="5" t="n">
        <f aca="false">fato_PIB!A4</f>
        <v>2004</v>
      </c>
      <c r="B7" s="26" t="n">
        <f aca="false">fato_PIB!Z4/100</f>
        <v>0.001136</v>
      </c>
      <c r="C7" s="26" t="n">
        <f aca="false">fato_PIB!AA4/100</f>
        <v>0.590208</v>
      </c>
      <c r="D7" s="26" t="n">
        <f aca="false">fato_PIB!AB4/100</f>
        <v>0.352873</v>
      </c>
      <c r="E7" s="26" t="n">
        <f aca="false">fato_PIB!AC4/100</f>
        <v>0.055782</v>
      </c>
      <c r="F7" s="26" t="n">
        <f aca="false">SUM(B7:E7)</f>
        <v>0.999999</v>
      </c>
      <c r="G7" s="25" t="n">
        <f aca="false">fato_PIB!Q4/1000000000</f>
        <v>26.1960645774889</v>
      </c>
      <c r="H7" s="25" t="n">
        <f aca="false">fato_PIB!R4/1000000000</f>
        <v>15.6620995067038</v>
      </c>
      <c r="I7" s="26" t="n">
        <f aca="false">fato_PIB!AD4/100</f>
        <v>0.158289</v>
      </c>
    </row>
    <row r="8" customFormat="false" ht="15" hidden="false" customHeight="false" outlineLevel="0" collapsed="false">
      <c r="A8" s="5" t="n">
        <f aca="false">fato_PIB!A5</f>
        <v>2005</v>
      </c>
      <c r="B8" s="26" t="n">
        <f aca="false">fato_PIB!Z5/100</f>
        <v>0.000854</v>
      </c>
      <c r="C8" s="26" t="n">
        <f aca="false">fato_PIB!AA5/100</f>
        <v>0.552855</v>
      </c>
      <c r="D8" s="26" t="n">
        <f aca="false">fato_PIB!AB5/100</f>
        <v>0.382337</v>
      </c>
      <c r="E8" s="26" t="n">
        <f aca="false">fato_PIB!AC5/100</f>
        <v>0.063955</v>
      </c>
      <c r="F8" s="26" t="n">
        <f aca="false">SUM(B8:E8)</f>
        <v>1.000001</v>
      </c>
      <c r="G8" s="25" t="n">
        <f aca="false">fato_PIB!Q5/1000000000</f>
        <v>23.3149441924241</v>
      </c>
      <c r="H8" s="25" t="n">
        <f aca="false">fato_PIB!R5/1000000000</f>
        <v>16.1238701048369</v>
      </c>
      <c r="I8" s="26" t="n">
        <f aca="false">fato_PIB!AD5/100</f>
        <v>0.145039</v>
      </c>
    </row>
    <row r="9" customFormat="false" ht="15" hidden="false" customHeight="false" outlineLevel="0" collapsed="false">
      <c r="A9" s="5" t="n">
        <f aca="false">fato_PIB!A6</f>
        <v>2006</v>
      </c>
      <c r="B9" s="26" t="n">
        <f aca="false">fato_PIB!Z6/100</f>
        <v>0.000891</v>
      </c>
      <c r="C9" s="26" t="n">
        <f aca="false">fato_PIB!AA6/100</f>
        <v>0.522718</v>
      </c>
      <c r="D9" s="26" t="n">
        <f aca="false">fato_PIB!AB6/100</f>
        <v>0.406579</v>
      </c>
      <c r="E9" s="26" t="n">
        <f aca="false">fato_PIB!AC6/100</f>
        <v>0.069812</v>
      </c>
      <c r="F9" s="26" t="n">
        <f aca="false">SUM(B9:E9)</f>
        <v>1</v>
      </c>
      <c r="G9" s="25" t="n">
        <f aca="false">fato_PIB!Q6/1000000000</f>
        <v>21.833583926842</v>
      </c>
      <c r="H9" s="25" t="n">
        <f aca="false">fato_PIB!R6/1000000000</f>
        <v>16.9824998694377</v>
      </c>
      <c r="I9" s="26" t="n">
        <f aca="false">fato_PIB!AD6/100</f>
        <v>0.14868</v>
      </c>
    </row>
    <row r="10" customFormat="false" ht="15" hidden="false" customHeight="false" outlineLevel="0" collapsed="false">
      <c r="A10" s="5" t="n">
        <f aca="false">fato_PIB!A7</f>
        <v>2007</v>
      </c>
      <c r="B10" s="26" t="n">
        <f aca="false">fato_PIB!Z7/100</f>
        <v>0.000899</v>
      </c>
      <c r="C10" s="26" t="n">
        <f aca="false">fato_PIB!AA7/100</f>
        <v>0.550185</v>
      </c>
      <c r="D10" s="26" t="n">
        <f aca="false">fato_PIB!AB7/100</f>
        <v>0.38529</v>
      </c>
      <c r="E10" s="26" t="n">
        <f aca="false">fato_PIB!AC7/100</f>
        <v>0.063626</v>
      </c>
      <c r="F10" s="26" t="n">
        <f aca="false">SUM(B10:E10)</f>
        <v>1</v>
      </c>
      <c r="G10" s="25" t="n">
        <f aca="false">fato_PIB!Q7/1000000000</f>
        <v>25.7560004972201</v>
      </c>
      <c r="H10" s="25" t="n">
        <f aca="false">fato_PIB!R7/1000000000</f>
        <v>18.0367049266742</v>
      </c>
      <c r="I10" s="26" t="n">
        <f aca="false">fato_PIB!AD7/100</f>
        <v>0.136494</v>
      </c>
    </row>
    <row r="11" customFormat="false" ht="15" hidden="false" customHeight="false" outlineLevel="0" collapsed="false">
      <c r="A11" s="5" t="n">
        <f aca="false">fato_PIB!A8</f>
        <v>2008</v>
      </c>
      <c r="B11" s="26" t="n">
        <f aca="false">fato_PIB!Z8/100</f>
        <v>0.00068</v>
      </c>
      <c r="C11" s="26" t="n">
        <f aca="false">fato_PIB!AA8/100</f>
        <v>0.548066</v>
      </c>
      <c r="D11" s="26" t="n">
        <f aca="false">fato_PIB!AB8/100</f>
        <v>0.38897</v>
      </c>
      <c r="E11" s="26" t="n">
        <f aca="false">fato_PIB!AC8/100</f>
        <v>0.062283</v>
      </c>
      <c r="F11" s="26" t="n">
        <f aca="false">SUM(B11:E11)</f>
        <v>0.999999</v>
      </c>
      <c r="G11" s="25" t="n">
        <f aca="false">fato_PIB!Q8/1000000000</f>
        <v>27.17743592403</v>
      </c>
      <c r="H11" s="25" t="n">
        <f aca="false">fato_PIB!R8/1000000000</f>
        <v>19.2882078926519</v>
      </c>
      <c r="I11" s="26" t="n">
        <f aca="false">fato_PIB!AD8/100</f>
        <v>0.149026</v>
      </c>
    </row>
    <row r="12" customFormat="false" ht="15" hidden="false" customHeight="false" outlineLevel="0" collapsed="false">
      <c r="A12" s="5" t="n">
        <f aca="false">fato_PIB!A9</f>
        <v>2009</v>
      </c>
      <c r="B12" s="26" t="n">
        <f aca="false">fato_PIB!Z9/100</f>
        <v>0.000852</v>
      </c>
      <c r="C12" s="26" t="n">
        <f aca="false">fato_PIB!AA9/100</f>
        <v>0.509746</v>
      </c>
      <c r="D12" s="26" t="n">
        <f aca="false">fato_PIB!AB9/100</f>
        <v>0.416517</v>
      </c>
      <c r="E12" s="26" t="n">
        <f aca="false">fato_PIB!AC9/100</f>
        <v>0.072885</v>
      </c>
      <c r="F12" s="26" t="n">
        <f aca="false">SUM(B12:E12)</f>
        <v>1</v>
      </c>
      <c r="G12" s="25" t="n">
        <f aca="false">fato_PIB!Q9/1000000000</f>
        <v>24.3906177170279</v>
      </c>
      <c r="H12" s="25" t="n">
        <f aca="false">fato_PIB!R9/1000000000</f>
        <v>19.9297415809849</v>
      </c>
      <c r="I12" s="26" t="n">
        <f aca="false">fato_PIB!AD9/100</f>
        <v>0.132391</v>
      </c>
    </row>
    <row r="13" customFormat="false" ht="15" hidden="false" customHeight="false" outlineLevel="0" collapsed="false">
      <c r="A13" s="5" t="n">
        <f aca="false">fato_PIB!A10</f>
        <v>2010</v>
      </c>
      <c r="B13" s="26" t="n">
        <f aca="false">fato_PIB!Z10/100</f>
        <v>0.000856</v>
      </c>
      <c r="C13" s="26" t="n">
        <f aca="false">fato_PIB!AA10/100</f>
        <v>0.485399</v>
      </c>
      <c r="D13" s="26" t="n">
        <f aca="false">fato_PIB!AB10/100</f>
        <v>0.439257</v>
      </c>
      <c r="E13" s="26" t="n">
        <f aca="false">fato_PIB!AC10/100</f>
        <v>0.074489</v>
      </c>
      <c r="F13" s="26" t="n">
        <f aca="false">SUM(B13:E13)</f>
        <v>1.000001</v>
      </c>
      <c r="G13" s="25" t="n">
        <f aca="false">fato_PIB!Q10/1000000000</f>
        <v>22.5104398806698</v>
      </c>
      <c r="H13" s="25" t="n">
        <f aca="false">fato_PIB!R10/1000000000</f>
        <v>20.3705702273745</v>
      </c>
      <c r="I13" s="26" t="n">
        <f aca="false">fato_PIB!AD10/100</f>
        <v>0.15358</v>
      </c>
    </row>
    <row r="14" customFormat="false" ht="15" hidden="false" customHeight="false" outlineLevel="0" collapsed="false">
      <c r="A14" s="5" t="n">
        <f aca="false">fato_PIB!A11</f>
        <v>2011</v>
      </c>
      <c r="B14" s="26" t="n">
        <f aca="false">fato_PIB!Z11/100</f>
        <v>0.000728</v>
      </c>
      <c r="C14" s="26" t="n">
        <f aca="false">fato_PIB!AA11/100</f>
        <v>0.405087</v>
      </c>
      <c r="D14" s="26" t="n">
        <f aca="false">fato_PIB!AB11/100</f>
        <v>0.514306</v>
      </c>
      <c r="E14" s="26" t="n">
        <f aca="false">fato_PIB!AC11/100</f>
        <v>0.079879</v>
      </c>
      <c r="F14" s="26" t="n">
        <f aca="false">SUM(B14:E14)</f>
        <v>1</v>
      </c>
      <c r="G14" s="25" t="n">
        <f aca="false">fato_PIB!Q11/1000000000</f>
        <v>17.1475768148308</v>
      </c>
      <c r="H14" s="25" t="n">
        <f aca="false">fato_PIB!R11/1000000000</f>
        <v>21.7709101290143</v>
      </c>
      <c r="I14" s="26" t="n">
        <f aca="false">fato_PIB!AD11/100</f>
        <v>0.166558</v>
      </c>
    </row>
    <row r="15" customFormat="false" ht="15" hidden="false" customHeight="false" outlineLevel="0" collapsed="false">
      <c r="A15" s="5" t="n">
        <f aca="false">fato_PIB!A12</f>
        <v>2012</v>
      </c>
      <c r="B15" s="26" t="n">
        <f aca="false">fato_PIB!Z12/100</f>
        <v>0.000735</v>
      </c>
      <c r="C15" s="26" t="n">
        <f aca="false">fato_PIB!AA12/100</f>
        <v>0.355178</v>
      </c>
      <c r="D15" s="26" t="n">
        <f aca="false">fato_PIB!AB12/100</f>
        <v>0.560459</v>
      </c>
      <c r="E15" s="26" t="n">
        <f aca="false">fato_PIB!AC12/100</f>
        <v>0.083628</v>
      </c>
      <c r="F15" s="26" t="n">
        <f aca="false">SUM(B15:E15)</f>
        <v>1</v>
      </c>
      <c r="G15" s="25" t="n">
        <f aca="false">fato_PIB!Q12/1000000000</f>
        <v>14.6499201735394</v>
      </c>
      <c r="H15" s="25" t="n">
        <f aca="false">fato_PIB!R12/1000000000</f>
        <v>23.1170524318388</v>
      </c>
      <c r="I15" s="26" t="n">
        <f aca="false">fato_PIB!AD12/100</f>
        <v>0.174939</v>
      </c>
    </row>
    <row r="16" customFormat="false" ht="15" hidden="false" customHeight="false" outlineLevel="0" collapsed="false">
      <c r="A16" s="5" t="n">
        <f aca="false">fato_PIB!A13</f>
        <v>2013</v>
      </c>
      <c r="B16" s="26" t="n">
        <f aca="false">fato_PIB!Z13/100</f>
        <v>0.000972</v>
      </c>
      <c r="C16" s="26" t="n">
        <f aca="false">fato_PIB!AA13/100</f>
        <v>0.322561</v>
      </c>
      <c r="D16" s="26" t="n">
        <f aca="false">fato_PIB!AB13/100</f>
        <v>0.583059</v>
      </c>
      <c r="E16" s="26" t="n">
        <f aca="false">fato_PIB!AC13/100</f>
        <v>0.093408</v>
      </c>
      <c r="F16" s="26" t="n">
        <f aca="false">SUM(B16:E16)</f>
        <v>1</v>
      </c>
      <c r="G16" s="25" t="n">
        <f aca="false">fato_PIB!Q13/1000000000</f>
        <v>13.3835395078404</v>
      </c>
      <c r="H16" s="25" t="n">
        <f aca="false">fato_PIB!R13/1000000000</f>
        <v>24.1919870223748</v>
      </c>
      <c r="I16" s="26" t="n">
        <f aca="false">fato_PIB!AD13/100</f>
        <v>0.173978</v>
      </c>
    </row>
    <row r="17" customFormat="false" ht="15" hidden="false" customHeight="false" outlineLevel="0" collapsed="false">
      <c r="A17" s="5" t="n">
        <f aca="false">fato_PIB!A14</f>
        <v>2014</v>
      </c>
      <c r="B17" s="26" t="n">
        <f aca="false">fato_PIB!Z14/100</f>
        <v>0.000485</v>
      </c>
      <c r="C17" s="26" t="n">
        <f aca="false">fato_PIB!AA14/100</f>
        <v>0.340973</v>
      </c>
      <c r="D17" s="26" t="n">
        <f aca="false">fato_PIB!AB14/100</f>
        <v>0.567935</v>
      </c>
      <c r="E17" s="26" t="n">
        <f aca="false">fato_PIB!AC14/100</f>
        <v>0.090606</v>
      </c>
      <c r="F17" s="26" t="n">
        <f aca="false">SUM(B17:E17)</f>
        <v>0.999999</v>
      </c>
      <c r="G17" s="25" t="n">
        <f aca="false">fato_PIB!Q14/1000000000</f>
        <v>14.5827852293422</v>
      </c>
      <c r="H17" s="25" t="n">
        <f aca="false">fato_PIB!R14/1000000000</f>
        <v>24.2894884245017</v>
      </c>
      <c r="I17" s="26" t="n">
        <f aca="false">fato_PIB!AD14/100</f>
        <v>0.155303</v>
      </c>
    </row>
    <row r="18" customFormat="false" ht="15" hidden="false" customHeight="false" outlineLevel="0" collapsed="false">
      <c r="A18" s="5" t="n">
        <f aca="false">fato_PIB!A15</f>
        <v>2015</v>
      </c>
      <c r="B18" s="26" t="n">
        <f aca="false">fato_PIB!Z15/100</f>
        <v>0.000484</v>
      </c>
      <c r="C18" s="26" t="n">
        <f aca="false">fato_PIB!AA15/100</f>
        <v>0.37832</v>
      </c>
      <c r="D18" s="26" t="n">
        <f aca="false">fato_PIB!AB15/100</f>
        <v>0.533217</v>
      </c>
      <c r="E18" s="26" t="n">
        <f aca="false">fato_PIB!AC15/100</f>
        <v>0.087978</v>
      </c>
      <c r="F18" s="26" t="n">
        <f aca="false">SUM(B18:E18)</f>
        <v>0.999999</v>
      </c>
      <c r="G18" s="25" t="n">
        <f aca="false">fato_PIB!Q15/1000000000</f>
        <v>16.4336970680426</v>
      </c>
      <c r="H18" s="25" t="n">
        <f aca="false">fato_PIB!R15/1000000000</f>
        <v>23.1621970785996</v>
      </c>
      <c r="I18" s="26" t="n">
        <f aca="false">fato_PIB!AD15/100</f>
        <v>0.149865</v>
      </c>
    </row>
    <row r="19" customFormat="false" ht="15" hidden="false" customHeight="false" outlineLevel="0" collapsed="false">
      <c r="A19" s="5" t="n">
        <f aca="false">fato_PIB!A16</f>
        <v>2016</v>
      </c>
      <c r="B19" s="26" t="n">
        <f aca="false">fato_PIB!Z16/100</f>
        <v>0.000469</v>
      </c>
      <c r="C19" s="26" t="n">
        <f aca="false">fato_PIB!AA16/100</f>
        <v>0.471671</v>
      </c>
      <c r="D19" s="26" t="n">
        <f aca="false">fato_PIB!AB16/100</f>
        <v>0.457363</v>
      </c>
      <c r="E19" s="26" t="n">
        <f aca="false">fato_PIB!AC16/100</f>
        <v>0.070497</v>
      </c>
      <c r="F19" s="26" t="n">
        <f aca="false">SUM(B19:E19)</f>
        <v>1</v>
      </c>
      <c r="G19" s="25" t="n">
        <f aca="false">fato_PIB!Q16/1000000000</f>
        <v>24.4534156393278</v>
      </c>
      <c r="H19" s="25" t="n">
        <f aca="false">fato_PIB!R16/1000000000</f>
        <v>23.7116349491701</v>
      </c>
      <c r="I19" s="26" t="n">
        <f aca="false">fato_PIB!AD16/100</f>
        <v>0.122064</v>
      </c>
    </row>
    <row r="20" customFormat="false" ht="15" hidden="false" customHeight="false" outlineLevel="0" collapsed="false">
      <c r="A20" s="5" t="n">
        <f aca="false">fato_PIB!A17</f>
        <v>2017</v>
      </c>
      <c r="B20" s="26" t="n">
        <f aca="false">fato_PIB!Z17/100</f>
        <v>0.000475</v>
      </c>
      <c r="C20" s="26" t="n">
        <f aca="false">fato_PIB!AA17/100</f>
        <v>0.446165</v>
      </c>
      <c r="D20" s="26" t="n">
        <f aca="false">fato_PIB!AB17/100</f>
        <v>0.478429</v>
      </c>
      <c r="E20" s="26" t="n">
        <f aca="false">fato_PIB!AC17/100</f>
        <v>0.074931</v>
      </c>
      <c r="F20" s="26" t="n">
        <f aca="false">SUM(B20:E20)</f>
        <v>1</v>
      </c>
      <c r="G20" s="25" t="n">
        <f aca="false">fato_PIB!Q17/1000000000</f>
        <v>21.2423238061016</v>
      </c>
      <c r="H20" s="25" t="n">
        <f aca="false">fato_PIB!R17/1000000000</f>
        <v>22.7784528162413</v>
      </c>
      <c r="I20" s="26" t="n">
        <f aca="false">fato_PIB!AD17/100</f>
        <v>0.122903</v>
      </c>
    </row>
    <row r="21" customFormat="false" ht="15" hidden="false" customHeight="false" outlineLevel="0" collapsed="false">
      <c r="A21" s="5" t="n">
        <f aca="false">fato_PIB!A18</f>
        <v>2018</v>
      </c>
      <c r="B21" s="26" t="n">
        <f aca="false">fato_PIB!Z18/100</f>
        <v>0.000444</v>
      </c>
      <c r="C21" s="26" t="n">
        <f aca="false">fato_PIB!AA18/100</f>
        <v>0.413901</v>
      </c>
      <c r="D21" s="26" t="n">
        <f aca="false">fato_PIB!AB18/100</f>
        <v>0.508192</v>
      </c>
      <c r="E21" s="26" t="n">
        <f aca="false">fato_PIB!AC18/100</f>
        <v>0.077463</v>
      </c>
      <c r="F21" s="26" t="n">
        <f aca="false">SUM(B21:E21)</f>
        <v>1</v>
      </c>
      <c r="G21" s="25" t="n">
        <f aca="false">fato_PIB!Q18/1000000000</f>
        <v>18.9033603590194</v>
      </c>
      <c r="H21" s="25" t="n">
        <f aca="false">fato_PIB!R18/1000000000</f>
        <v>23.2097327664267</v>
      </c>
      <c r="I21" s="26" t="n">
        <f aca="false">fato_PIB!AD18/100</f>
        <v>0.133648</v>
      </c>
    </row>
    <row r="22" customFormat="false" ht="15" hidden="false" customHeight="false" outlineLevel="0" collapsed="false">
      <c r="A22" s="5" t="n">
        <f aca="false">fato_PIB!A19</f>
        <v>2019</v>
      </c>
      <c r="B22" s="26" t="n">
        <f aca="false">fato_PIB!Z19/100</f>
        <v>0.000389</v>
      </c>
      <c r="C22" s="26" t="n">
        <f aca="false">fato_PIB!AA19/100</f>
        <v>0.424515</v>
      </c>
      <c r="D22" s="26" t="n">
        <f aca="false">fato_PIB!AB19/100</f>
        <v>0.503408</v>
      </c>
      <c r="E22" s="26" t="n">
        <f aca="false">fato_PIB!AC19/100</f>
        <v>0.071688</v>
      </c>
      <c r="F22" s="26" t="n">
        <f aca="false">SUM(B22:E22)</f>
        <v>1</v>
      </c>
      <c r="G22" s="25" t="n">
        <f aca="false">fato_PIB!Q19/1000000000</f>
        <v>20.5230821703466</v>
      </c>
      <c r="H22" s="25" t="n">
        <f aca="false">fato_PIB!R19/1000000000</f>
        <v>24.3371159238179</v>
      </c>
      <c r="I22" s="26" t="n">
        <f aca="false">fato_PIB!AD19/100</f>
        <v>0.128333</v>
      </c>
    </row>
    <row r="23" customFormat="false" ht="15" hidden="false" customHeight="false" outlineLevel="0" collapsed="false">
      <c r="A23" s="5" t="n">
        <f aca="false">fato_PIB!A20</f>
        <v>2020</v>
      </c>
      <c r="B23" s="26" t="n">
        <f aca="false">fato_PIB!Z20/100</f>
        <v>0.000619</v>
      </c>
      <c r="C23" s="26" t="n">
        <f aca="false">fato_PIB!AA20/100</f>
        <v>0.402867</v>
      </c>
      <c r="D23" s="26" t="n">
        <f aca="false">fato_PIB!AB20/100</f>
        <v>0.516328</v>
      </c>
      <c r="E23" s="26" t="n">
        <f aca="false">fato_PIB!AC20/100</f>
        <v>0.080186</v>
      </c>
      <c r="F23" s="26" t="n">
        <f aca="false">SUM(B23:E23)</f>
        <v>1</v>
      </c>
      <c r="G23" s="25" t="n">
        <f aca="false">fato_PIB!Q20/1000000000</f>
        <v>16.8898923761236</v>
      </c>
      <c r="H23" s="25" t="n">
        <f aca="false">fato_PIB!R20/1000000000</f>
        <v>21.6466533120068</v>
      </c>
      <c r="I23" s="26" t="n">
        <f aca="false">fato_PIB!AD20/100</f>
        <v>0.125661</v>
      </c>
    </row>
    <row r="24" customFormat="false" ht="15" hidden="false" customHeight="false" outlineLevel="0" collapsed="false">
      <c r="A24" s="5" t="n">
        <f aca="false">fato_PIB!A21</f>
        <v>2021</v>
      </c>
      <c r="B24" s="26" t="n">
        <f aca="false">fato_PIB!Z21/100</f>
        <v>0.000657</v>
      </c>
      <c r="C24" s="26" t="n">
        <f aca="false">fato_PIB!AA21/100</f>
        <v>0.423905</v>
      </c>
      <c r="D24" s="26" t="n">
        <f aca="false">fato_PIB!AB21/100</f>
        <v>0.50114</v>
      </c>
      <c r="E24" s="26" t="n">
        <f aca="false">fato_PIB!AC21/100</f>
        <v>0.074298</v>
      </c>
      <c r="F24" s="26" t="n">
        <f aca="false">SUM(B24:E24)</f>
        <v>1</v>
      </c>
      <c r="G24" s="25" t="n">
        <f aca="false">fato_PIB!Q21/1000000000</f>
        <v>18.2165986543416</v>
      </c>
      <c r="H24" s="25" t="n">
        <f aca="false">fato_PIB!R21/1000000000</f>
        <v>21.5356231337401</v>
      </c>
      <c r="I24" s="26" t="n">
        <f aca="false">fato_PIB!AD21/100</f>
        <v>0.141152</v>
      </c>
    </row>
    <row r="26" customFormat="false" ht="15" hidden="false" customHeight="false" outlineLevel="0" collapsed="false">
      <c r="A26" s="4" t="s">
        <v>141</v>
      </c>
      <c r="D26" s="8" t="n">
        <f aca="false">MAX(C5:C24)</f>
        <v>0.590208</v>
      </c>
      <c r="E26" s="5" t="n">
        <f aca="false">INDEX(A5:A24,MATCH(D26,C5:C24,0))</f>
        <v>2004</v>
      </c>
    </row>
    <row r="27" customFormat="false" ht="15" hidden="false" customHeight="false" outlineLevel="0" collapsed="false">
      <c r="A27" s="4" t="s">
        <v>142</v>
      </c>
      <c r="D27" s="8" t="n">
        <f aca="false">MIN(C5:C24)</f>
        <v>0.322561</v>
      </c>
      <c r="E27" s="5" t="n">
        <f aca="false">INDEX(A5:A24,MATCH(D27,C5:C24,0))</f>
        <v>2013</v>
      </c>
    </row>
    <row r="28" customFormat="false" ht="15" hidden="false" customHeight="false" outlineLevel="0" collapsed="false">
      <c r="A28" s="2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4" min="2" style="0" width="13"/>
    <col collapsed="false" customWidth="true" hidden="false" outlineLevel="0" max="5" min="5" style="0" width="14"/>
    <col collapsed="false" customWidth="true" hidden="false" outlineLevel="0" max="6" min="6" style="0" width="11"/>
  </cols>
  <sheetData>
    <row r="1" customFormat="false" ht="17.3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2" t="s">
        <v>145</v>
      </c>
    </row>
    <row r="4" customFormat="false" ht="23.85" hidden="false" customHeight="false" outlineLevel="0" collapsed="false">
      <c r="A4" s="10" t="s">
        <v>64</v>
      </c>
      <c r="B4" s="10" t="s">
        <v>146</v>
      </c>
      <c r="C4" s="10" t="s">
        <v>147</v>
      </c>
      <c r="D4" s="10" t="s">
        <v>148</v>
      </c>
      <c r="E4" s="10" t="s">
        <v>149</v>
      </c>
      <c r="F4" s="10" t="s">
        <v>150</v>
      </c>
    </row>
    <row r="5" customFormat="false" ht="15" hidden="false" customHeight="false" outlineLevel="0" collapsed="false">
      <c r="A5" s="5" t="n">
        <f aca="false">fato_PIB!A2</f>
        <v>2002</v>
      </c>
      <c r="B5" s="29" t="n">
        <f aca="false">fato_PIB!AG2/100</f>
        <v>0.5595</v>
      </c>
      <c r="C5" s="29" t="n">
        <f aca="false">fato_PIB!AF2/100</f>
        <v>0.4521</v>
      </c>
      <c r="D5" s="29" t="n">
        <f aca="false">fato_PIB!AI2/100</f>
        <v>0.0257</v>
      </c>
      <c r="E5" s="29" t="n">
        <f aca="false">fato_PIB!AE2/100</f>
        <v>0.0156</v>
      </c>
      <c r="F5" s="29" t="n">
        <f aca="false">fato_PIB!AH2/100</f>
        <v>0.009</v>
      </c>
    </row>
    <row r="6" customFormat="false" ht="15" hidden="false" customHeight="false" outlineLevel="0" collapsed="false">
      <c r="A6" s="5" t="n">
        <f aca="false">fato_PIB!A3</f>
        <v>2003</v>
      </c>
      <c r="B6" s="29" t="n">
        <f aca="false">fato_PIB!AG3/100</f>
        <v>0.5605</v>
      </c>
      <c r="C6" s="29" t="n">
        <f aca="false">fato_PIB!AF3/100</f>
        <v>0.4568</v>
      </c>
      <c r="D6" s="29" t="n">
        <f aca="false">fato_PIB!AI3/100</f>
        <v>0.0268</v>
      </c>
      <c r="E6" s="29" t="n">
        <f aca="false">fato_PIB!AE3/100</f>
        <v>0.0164</v>
      </c>
      <c r="F6" s="29" t="n">
        <f aca="false">fato_PIB!AH3/100</f>
        <v>0.0092</v>
      </c>
    </row>
    <row r="7" customFormat="false" ht="15" hidden="false" customHeight="false" outlineLevel="0" collapsed="false">
      <c r="A7" s="5" t="n">
        <f aca="false">fato_PIB!A4</f>
        <v>2004</v>
      </c>
      <c r="B7" s="29" t="n">
        <f aca="false">fato_PIB!AG4/100</f>
        <v>0.5753</v>
      </c>
      <c r="C7" s="29" t="n">
        <f aca="false">fato_PIB!AF4/100</f>
        <v>0.4651</v>
      </c>
      <c r="D7" s="29" t="n">
        <f aca="false">fato_PIB!AI4/100</f>
        <v>0.0286</v>
      </c>
      <c r="E7" s="29" t="n">
        <f aca="false">fato_PIB!AE4/100</f>
        <v>0.0169</v>
      </c>
      <c r="F7" s="29" t="n">
        <f aca="false">fato_PIB!AH4/100</f>
        <v>0.0095</v>
      </c>
    </row>
    <row r="8" customFormat="false" ht="15" hidden="false" customHeight="false" outlineLevel="0" collapsed="false">
      <c r="A8" s="5" t="n">
        <f aca="false">fato_PIB!A5</f>
        <v>2005</v>
      </c>
      <c r="B8" s="29" t="n">
        <f aca="false">fato_PIB!AG5/100</f>
        <v>0.5493</v>
      </c>
      <c r="C8" s="29" t="n">
        <f aca="false">fato_PIB!AF5/100</f>
        <v>0.4342</v>
      </c>
      <c r="D8" s="29" t="n">
        <f aca="false">fato_PIB!AI5/100</f>
        <v>0.0248</v>
      </c>
      <c r="E8" s="29" t="n">
        <f aca="false">fato_PIB!AE5/100</f>
        <v>0.0148</v>
      </c>
      <c r="F8" s="29" t="n">
        <f aca="false">fato_PIB!AH5/100</f>
        <v>0.0085</v>
      </c>
    </row>
    <row r="9" customFormat="false" ht="15" hidden="false" customHeight="false" outlineLevel="0" collapsed="false">
      <c r="A9" s="5" t="n">
        <f aca="false">fato_PIB!A6</f>
        <v>2006</v>
      </c>
      <c r="B9" s="29" t="n">
        <f aca="false">fato_PIB!AG6/100</f>
        <v>0.5258</v>
      </c>
      <c r="C9" s="29" t="n">
        <f aca="false">fato_PIB!AF6/100</f>
        <v>0.4117</v>
      </c>
      <c r="D9" s="29" t="n">
        <f aca="false">fato_PIB!AI6/100</f>
        <v>0.023</v>
      </c>
      <c r="E9" s="29" t="n">
        <f aca="false">fato_PIB!AE6/100</f>
        <v>0.0136</v>
      </c>
      <c r="F9" s="29" t="n">
        <f aca="false">fato_PIB!AH6/100</f>
        <v>0.0079</v>
      </c>
    </row>
    <row r="10" customFormat="false" ht="15" hidden="false" customHeight="false" outlineLevel="0" collapsed="false">
      <c r="A10" s="5" t="n">
        <f aca="false">fato_PIB!A7</f>
        <v>2007</v>
      </c>
      <c r="B10" s="29" t="n">
        <f aca="false">fato_PIB!AG7/100</f>
        <v>0.5291</v>
      </c>
      <c r="C10" s="29" t="n">
        <f aca="false">fato_PIB!AF7/100</f>
        <v>0.4162</v>
      </c>
      <c r="D10" s="29" t="n">
        <f aca="false">fato_PIB!AI7/100</f>
        <v>0.0234</v>
      </c>
      <c r="E10" s="29" t="n">
        <f aca="false">fato_PIB!AE7/100</f>
        <v>0.014</v>
      </c>
      <c r="F10" s="29" t="n">
        <f aca="false">fato_PIB!AH7/100</f>
        <v>0.008</v>
      </c>
    </row>
    <row r="11" customFormat="false" ht="15" hidden="false" customHeight="false" outlineLevel="0" collapsed="false">
      <c r="A11" s="5" t="n">
        <f aca="false">fato_PIB!A8</f>
        <v>2008</v>
      </c>
      <c r="B11" s="29" t="n">
        <f aca="false">fato_PIB!AG8/100</f>
        <v>0.5282</v>
      </c>
      <c r="C11" s="29" t="n">
        <f aca="false">fato_PIB!AF8/100</f>
        <v>0.4164</v>
      </c>
      <c r="D11" s="29" t="n">
        <f aca="false">fato_PIB!AI8/100</f>
        <v>0.0239</v>
      </c>
      <c r="E11" s="29" t="n">
        <f aca="false">fato_PIB!AE8/100</f>
        <v>0.014</v>
      </c>
      <c r="F11" s="29" t="n">
        <f aca="false">fato_PIB!AH8/100</f>
        <v>0.008</v>
      </c>
    </row>
    <row r="12" customFormat="false" ht="15" hidden="false" customHeight="false" outlineLevel="0" collapsed="false">
      <c r="A12" s="5" t="n">
        <f aca="false">fato_PIB!A9</f>
        <v>2009</v>
      </c>
      <c r="B12" s="29" t="n">
        <f aca="false">fato_PIB!AG9/100</f>
        <v>0.5033</v>
      </c>
      <c r="C12" s="29" t="n">
        <f aca="false">fato_PIB!AF9/100</f>
        <v>0.3949</v>
      </c>
      <c r="D12" s="29" t="n">
        <f aca="false">fato_PIB!AI9/100</f>
        <v>0.0218</v>
      </c>
      <c r="E12" s="29" t="n">
        <f aca="false">fato_PIB!AE9/100</f>
        <v>0.0131</v>
      </c>
      <c r="F12" s="29" t="n">
        <f aca="false">fato_PIB!AH9/100</f>
        <v>0.0074</v>
      </c>
    </row>
    <row r="13" customFormat="false" ht="15" hidden="false" customHeight="false" outlineLevel="0" collapsed="false">
      <c r="A13" s="5" t="n">
        <f aca="false">fato_PIB!A10</f>
        <v>2010</v>
      </c>
      <c r="B13" s="29" t="n">
        <f aca="false">fato_PIB!AG10/100</f>
        <v>0.494</v>
      </c>
      <c r="C13" s="29" t="n">
        <f aca="false">fato_PIB!AF10/100</f>
        <v>0.3802</v>
      </c>
      <c r="D13" s="29" t="n">
        <f aca="false">fato_PIB!AI10/100</f>
        <v>0.02</v>
      </c>
      <c r="E13" s="29" t="n">
        <f aca="false">fato_PIB!AE10/100</f>
        <v>0.0119</v>
      </c>
      <c r="F13" s="29" t="n">
        <f aca="false">fato_PIB!AH10/100</f>
        <v>0.0067</v>
      </c>
    </row>
    <row r="14" customFormat="false" ht="15" hidden="false" customHeight="false" outlineLevel="0" collapsed="false">
      <c r="A14" s="5" t="n">
        <f aca="false">fato_PIB!A11</f>
        <v>2011</v>
      </c>
      <c r="B14" s="29" t="n">
        <f aca="false">fato_PIB!AG11/100</f>
        <v>0.4684</v>
      </c>
      <c r="C14" s="29" t="n">
        <f aca="false">fato_PIB!AF11/100</f>
        <v>0.3532</v>
      </c>
      <c r="D14" s="29" t="n">
        <f aca="false">fato_PIB!AI11/100</f>
        <v>0.0178</v>
      </c>
      <c r="E14" s="29" t="n">
        <f aca="false">fato_PIB!AE11/100</f>
        <v>0.0104</v>
      </c>
      <c r="F14" s="29" t="n">
        <f aca="false">fato_PIB!AH11/100</f>
        <v>0.0058</v>
      </c>
    </row>
    <row r="15" customFormat="false" ht="15" hidden="false" customHeight="false" outlineLevel="0" collapsed="false">
      <c r="A15" s="5" t="n">
        <f aca="false">fato_PIB!A12</f>
        <v>2012</v>
      </c>
      <c r="B15" s="29" t="n">
        <f aca="false">fato_PIB!AG12/100</f>
        <v>0.4636</v>
      </c>
      <c r="C15" s="29" t="n">
        <f aca="false">fato_PIB!AF12/100</f>
        <v>0.3453</v>
      </c>
      <c r="D15" s="29" t="n">
        <f aca="false">fato_PIB!AI12/100</f>
        <v>0.0171</v>
      </c>
      <c r="E15" s="29" t="n">
        <f aca="false">fato_PIB!AE12/100</f>
        <v>0.0099</v>
      </c>
      <c r="F15" s="29" t="n">
        <f aca="false">fato_PIB!AH12/100</f>
        <v>0.0055</v>
      </c>
    </row>
    <row r="16" customFormat="false" ht="15" hidden="false" customHeight="false" outlineLevel="0" collapsed="false">
      <c r="A16" s="5" t="n">
        <f aca="false">fato_PIB!A13</f>
        <v>2013</v>
      </c>
      <c r="B16" s="29" t="n">
        <f aca="false">fato_PIB!AG13/100</f>
        <v>0.4594</v>
      </c>
      <c r="C16" s="29" t="n">
        <f aca="false">fato_PIB!AF13/100</f>
        <v>0.3267</v>
      </c>
      <c r="D16" s="29" t="n">
        <f aca="false">fato_PIB!AI13/100</f>
        <v>0.0165</v>
      </c>
      <c r="E16" s="29" t="n">
        <f aca="false">fato_PIB!AE13/100</f>
        <v>0.0096</v>
      </c>
      <c r="F16" s="29" t="n">
        <f aca="false">fato_PIB!AH13/100</f>
        <v>0.0053</v>
      </c>
    </row>
    <row r="17" customFormat="false" ht="15" hidden="false" customHeight="false" outlineLevel="0" collapsed="false">
      <c r="A17" s="5" t="n">
        <f aca="false">fato_PIB!A14</f>
        <v>2014</v>
      </c>
      <c r="B17" s="29" t="n">
        <f aca="false">fato_PIB!AG14/100</f>
        <v>0.4616</v>
      </c>
      <c r="C17" s="29" t="n">
        <f aca="false">fato_PIB!AF14/100</f>
        <v>0.3166</v>
      </c>
      <c r="D17" s="29" t="n">
        <f aca="false">fato_PIB!AI14/100</f>
        <v>0.0163</v>
      </c>
      <c r="E17" s="29" t="n">
        <f aca="false">fato_PIB!AE14/100</f>
        <v>0.0096</v>
      </c>
      <c r="F17" s="29" t="n">
        <f aca="false">fato_PIB!AH14/100</f>
        <v>0.0053</v>
      </c>
    </row>
    <row r="18" customFormat="false" ht="15" hidden="false" customHeight="false" outlineLevel="0" collapsed="false">
      <c r="A18" s="5" t="n">
        <f aca="false">fato_PIB!A15</f>
        <v>2015</v>
      </c>
      <c r="B18" s="29" t="n">
        <f aca="false">fato_PIB!AG15/100</f>
        <v>0.4903</v>
      </c>
      <c r="C18" s="29" t="n">
        <f aca="false">fato_PIB!AF15/100</f>
        <v>0.3463</v>
      </c>
      <c r="D18" s="29" t="n">
        <f aca="false">fato_PIB!AI15/100</f>
        <v>0.0175</v>
      </c>
      <c r="E18" s="29" t="n">
        <f aca="false">fato_PIB!AE15/100</f>
        <v>0.0105</v>
      </c>
      <c r="F18" s="29" t="n">
        <f aca="false">fato_PIB!AH15/100</f>
        <v>0.0057</v>
      </c>
    </row>
    <row r="19" customFormat="false" ht="15" hidden="false" customHeight="false" outlineLevel="0" collapsed="false">
      <c r="A19" s="5" t="n">
        <f aca="false">fato_PIB!A16</f>
        <v>2016</v>
      </c>
      <c r="B19" s="29" t="n">
        <f aca="false">fato_PIB!AG16/100</f>
        <v>0.5249</v>
      </c>
      <c r="C19" s="29" t="n">
        <f aca="false">fato_PIB!AF16/100</f>
        <v>0.3994</v>
      </c>
      <c r="D19" s="29" t="n">
        <f aca="false">fato_PIB!AI16/100</f>
        <v>0.0204</v>
      </c>
      <c r="E19" s="29" t="n">
        <f aca="false">fato_PIB!AE16/100</f>
        <v>0.0125</v>
      </c>
      <c r="F19" s="29" t="n">
        <f aca="false">fato_PIB!AH16/100</f>
        <v>0.0066</v>
      </c>
    </row>
    <row r="20" customFormat="false" ht="15" hidden="false" customHeight="false" outlineLevel="0" collapsed="false">
      <c r="A20" s="5" t="n">
        <f aca="false">fato_PIB!A17</f>
        <v>2017</v>
      </c>
      <c r="B20" s="29" t="n">
        <f aca="false">fato_PIB!AG17/100</f>
        <v>0.4973</v>
      </c>
      <c r="C20" s="29" t="n">
        <f aca="false">fato_PIB!AF17/100</f>
        <v>0.3603</v>
      </c>
      <c r="D20" s="29" t="n">
        <f aca="false">fato_PIB!AI17/100</f>
        <v>0.0186</v>
      </c>
      <c r="E20" s="29" t="n">
        <f aca="false">fato_PIB!AE17/100</f>
        <v>0.0113</v>
      </c>
      <c r="F20" s="29" t="n">
        <f aca="false">fato_PIB!AH17/100</f>
        <v>0.006</v>
      </c>
    </row>
    <row r="21" customFormat="false" ht="15" hidden="false" customHeight="false" outlineLevel="0" collapsed="false">
      <c r="A21" s="5" t="n">
        <f aca="false">fato_PIB!A18</f>
        <v>2018</v>
      </c>
      <c r="B21" s="29" t="n">
        <f aca="false">fato_PIB!AG18/100</f>
        <v>0.4753</v>
      </c>
      <c r="C21" s="29" t="n">
        <f aca="false">fato_PIB!AF18/100</f>
        <v>0.3202</v>
      </c>
      <c r="D21" s="29" t="n">
        <f aca="false">fato_PIB!AI18/100</f>
        <v>0.018</v>
      </c>
      <c r="E21" s="29" t="n">
        <f aca="false">fato_PIB!AE18/100</f>
        <v>0.0107</v>
      </c>
      <c r="F21" s="29" t="n">
        <f aca="false">fato_PIB!AH18/100</f>
        <v>0.0057</v>
      </c>
    </row>
    <row r="22" customFormat="false" ht="15" hidden="false" customHeight="false" outlineLevel="0" collapsed="false">
      <c r="A22" s="5" t="n">
        <f aca="false">fato_PIB!A19</f>
        <v>2019</v>
      </c>
      <c r="B22" s="29" t="n">
        <f aca="false">fato_PIB!AG19/100</f>
        <v>0.4914</v>
      </c>
      <c r="C22" s="29" t="n">
        <f aca="false">fato_PIB!AF19/100</f>
        <v>0.3308</v>
      </c>
      <c r="D22" s="29" t="n">
        <f aca="false">fato_PIB!AI19/100</f>
        <v>0.0186</v>
      </c>
      <c r="E22" s="29" t="n">
        <f aca="false">fato_PIB!AE19/100</f>
        <v>0.0111</v>
      </c>
      <c r="F22" s="29" t="n">
        <f aca="false">fato_PIB!AH19/100</f>
        <v>0.0059</v>
      </c>
    </row>
    <row r="23" customFormat="false" ht="15" hidden="false" customHeight="false" outlineLevel="0" collapsed="false">
      <c r="A23" s="5" t="n">
        <f aca="false">fato_PIB!A20</f>
        <v>2020</v>
      </c>
      <c r="B23" s="29" t="n">
        <f aca="false">fato_PIB!AG20/100</f>
        <v>0.475</v>
      </c>
      <c r="C23" s="29" t="n">
        <f aca="false">fato_PIB!AF20/100</f>
        <v>0.3228</v>
      </c>
      <c r="D23" s="29" t="n">
        <f aca="false">fato_PIB!AI20/100</f>
        <v>0.0166</v>
      </c>
      <c r="E23" s="29" t="n">
        <f aca="false">fato_PIB!AE20/100</f>
        <v>0.01</v>
      </c>
      <c r="F23" s="29" t="n">
        <f aca="false">fato_PIB!AH20/100</f>
        <v>0.0052</v>
      </c>
    </row>
    <row r="24" customFormat="false" ht="15" hidden="false" customHeight="false" outlineLevel="0" collapsed="false">
      <c r="A24" s="5" t="n">
        <f aca="false">fato_PIB!A21</f>
        <v>2021</v>
      </c>
      <c r="B24" s="29" t="n">
        <f aca="false">fato_PIB!AG21/100</f>
        <v>0.4618</v>
      </c>
      <c r="C24" s="29" t="n">
        <f aca="false">fato_PIB!AF21/100</f>
        <v>0.2874</v>
      </c>
      <c r="D24" s="29" t="n">
        <f aca="false">fato_PIB!AI21/100</f>
        <v>0.0166</v>
      </c>
      <c r="E24" s="29" t="n">
        <f aca="false">fato_PIB!AE21/100</f>
        <v>0.0096</v>
      </c>
      <c r="F24" s="29" t="n">
        <f aca="false">fato_PIB!AH21/100</f>
        <v>0.005</v>
      </c>
    </row>
    <row r="25" customFormat="false" ht="15" hidden="false" customHeight="false" outlineLevel="0" collapsed="false">
      <c r="A25" s="5" t="n">
        <f aca="false">fato_PIB!A22</f>
        <v>2022</v>
      </c>
      <c r="B25" s="29" t="n">
        <f aca="false">fato_PIB!AG22/100</f>
        <v>0.4964</v>
      </c>
      <c r="C25" s="29" t="n">
        <f aca="false">fato_PIB!AF22/100</f>
        <v>0.2967</v>
      </c>
      <c r="D25" s="29" t="n">
        <f aca="false">fato_PIB!AI22/100</f>
        <v>0.0181</v>
      </c>
      <c r="E25" s="29" t="n">
        <f aca="false">fato_PIB!AE22/100</f>
        <v>0.0105</v>
      </c>
      <c r="F25" s="29" t="n">
        <f aca="false">fato_PIB!AH22/100</f>
        <v>0.0056</v>
      </c>
    </row>
    <row r="26" customFormat="false" ht="15" hidden="false" customHeight="false" outlineLevel="0" collapsed="false">
      <c r="A26" s="5" t="n">
        <f aca="false">fato_PIB!A23</f>
        <v>2023</v>
      </c>
      <c r="B26" s="29" t="n">
        <f aca="false">fato_PIB!AG23/100</f>
        <v>0.4885</v>
      </c>
      <c r="C26" s="29" t="n">
        <f aca="false">fato_PIB!AF23/100</f>
        <v>0.3172</v>
      </c>
      <c r="D26" s="29" t="n">
        <f aca="false">fato_PIB!AI23/100</f>
        <v>0.0178</v>
      </c>
      <c r="E26" s="29" t="n">
        <f aca="false">fato_PIB!AE23/100</f>
        <v>0.0106</v>
      </c>
      <c r="F26" s="29" t="n">
        <f aca="false">fato_PIB!AH23/100</f>
        <v>0.0056</v>
      </c>
    </row>
    <row r="27" customFormat="false" ht="15" hidden="false" customHeight="false" outlineLevel="0" collapsed="false">
      <c r="A27" s="30" t="s">
        <v>151</v>
      </c>
      <c r="B27" s="31" t="n">
        <f aca="false">(B26-B5)*100</f>
        <v>-7.1</v>
      </c>
      <c r="C27" s="31" t="n">
        <f aca="false">(C26-C5)*100</f>
        <v>-13.49</v>
      </c>
      <c r="D27" s="31" t="n">
        <f aca="false">(D26-D5)*100</f>
        <v>-0.79</v>
      </c>
      <c r="E27" s="31" t="n">
        <f aca="false">(E26-E5)*100</f>
        <v>-0.5</v>
      </c>
      <c r="F27" s="31" t="n">
        <f aca="false">(F26-F5)*100</f>
        <v>-0.34</v>
      </c>
    </row>
    <row r="29" customFormat="false" ht="15" hidden="false" customHeight="false" outlineLevel="0" collapsed="false">
      <c r="A29" s="2" t="s">
        <v>152</v>
      </c>
    </row>
    <row r="30" customFormat="false" ht="15" hidden="false" customHeight="false" outlineLevel="0" collapsed="false">
      <c r="A30" s="2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42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4" customFormat="false" ht="15" hidden="false" customHeight="false" outlineLevel="0" collapsed="false">
      <c r="A4" s="4" t="s">
        <v>156</v>
      </c>
      <c r="B4" s="5" t="n">
        <f aca="false">'LEIA-ME'!B11</f>
        <v>2021</v>
      </c>
    </row>
    <row r="6" customFormat="false" ht="23.85" hidden="false" customHeight="false" outlineLevel="0" collapsed="false">
      <c r="A6" s="10" t="s">
        <v>157</v>
      </c>
      <c r="B6" s="10" t="s">
        <v>158</v>
      </c>
      <c r="C6" s="10" t="s">
        <v>159</v>
      </c>
      <c r="D6" s="10" t="s">
        <v>160</v>
      </c>
      <c r="E6" s="10" t="s">
        <v>161</v>
      </c>
      <c r="F6" s="10" t="s">
        <v>162</v>
      </c>
      <c r="G6" s="10" t="s">
        <v>163</v>
      </c>
    </row>
    <row r="7" customFormat="false" ht="15" hidden="false" customHeight="false" outlineLevel="0" collapsed="false">
      <c r="A7" s="11" t="s">
        <v>134</v>
      </c>
      <c r="B7" s="28" t="n">
        <f aca="false">SUMIF(dSetor_CNAE_IBGE!$C$5:$C$25,A7,dSetor_CNAE_IBGE!$E$5:$E$25)</f>
        <v>624</v>
      </c>
      <c r="C7" s="26" t="n">
        <f aca="false">B7/$B$11</f>
        <v>0.00301861965876053</v>
      </c>
      <c r="D7" s="26" t="n">
        <f aca="false">INDEX(fato_PIB!$Z$2:$Z$23,MATCH($B$4,fato_PIB!$A$2:$A$23,0))/100</f>
        <v>0.000657</v>
      </c>
      <c r="E7" s="25" t="n">
        <f aca="false">INDEX(fato_PIB!$P$2:$P$23,MATCH($B$4,fato_PIB!$A$2:$A$23,0))/1000000000</f>
        <v>0.0282271890899</v>
      </c>
      <c r="F7" s="28" t="n">
        <f aca="false">IF(A7="Administração pública","não comparável",E7*1000000000/B7/1000)</f>
        <v>45.2358799517628</v>
      </c>
      <c r="G7" s="4" t="str">
        <f aca="false">IF(A7="Administração pública","Emprego público quase ausente na base RAIS",IF(D7&gt;C7,"Produz mais do que emprega","Emprega mais do que produz"))</f>
        <v>Emprega mais do que produz</v>
      </c>
    </row>
    <row r="8" customFormat="false" ht="15" hidden="false" customHeight="false" outlineLevel="0" collapsed="false">
      <c r="A8" s="11" t="s">
        <v>135</v>
      </c>
      <c r="B8" s="28" t="n">
        <f aca="false">SUMIF(dSetor_CNAE_IBGE!$C$5:$C$25,A8,dSetor_CNAE_IBGE!$E$5:$E$25)</f>
        <v>51257</v>
      </c>
      <c r="C8" s="26" t="n">
        <f aca="false">B8/$B$11</f>
        <v>0.247957352322257</v>
      </c>
      <c r="D8" s="26" t="n">
        <f aca="false">INDEX(fato_PIB!$AA$2:$AA$23,MATCH($B$4,fato_PIB!$A$2:$A$23,0))/100</f>
        <v>0.423905</v>
      </c>
      <c r="E8" s="25" t="n">
        <f aca="false">INDEX(fato_PIB!$Q$2:$Q$23,MATCH($B$4,fato_PIB!$A$2:$A$23,0))/1000000000</f>
        <v>18.2165986543416</v>
      </c>
      <c r="F8" s="28" t="n">
        <f aca="false">IF(A8="Administração pública","não comparável",E8*1000000000/B8/1000)</f>
        <v>355.397285333547</v>
      </c>
      <c r="G8" s="4" t="str">
        <f aca="false">IF(A8="Administração pública","Emprego público quase ausente na base RAIS",IF(D8&gt;C8,"Produz mais do que emprega","Emprega mais do que produz"))</f>
        <v>Produz mais do que emprega</v>
      </c>
    </row>
    <row r="9" customFormat="false" ht="15" hidden="false" customHeight="false" outlineLevel="0" collapsed="false">
      <c r="A9" s="11" t="s">
        <v>99</v>
      </c>
      <c r="B9" s="28" t="n">
        <f aca="false">SUMIF(dSetor_CNAE_IBGE!$C$5:$C$25,A9,dSetor_CNAE_IBGE!$E$5:$E$25)</f>
        <v>154724</v>
      </c>
      <c r="C9" s="26" t="n">
        <f aca="false">B9/$B$11</f>
        <v>0.748482224490487</v>
      </c>
      <c r="D9" s="26" t="n">
        <f aca="false">INDEX(fato_PIB!$AB$2:$AB$23,MATCH($B$4,fato_PIB!$A$2:$A$23,0))/100</f>
        <v>0.50114</v>
      </c>
      <c r="E9" s="25" t="n">
        <f aca="false">INDEX(fato_PIB!$R$2:$R$23,MATCH($B$4,fato_PIB!$A$2:$A$23,0))/1000000000</f>
        <v>21.5356231337401</v>
      </c>
      <c r="F9" s="28" t="n">
        <f aca="false">IF(A9="Administração pública","não comparável",E9*1000000000/B9/1000)</f>
        <v>139.187347365245</v>
      </c>
      <c r="G9" s="4" t="str">
        <f aca="false">IF(A9="Administração pública","Emprego público quase ausente na base RAIS",IF(D9&gt;C9,"Produz mais do que emprega","Emprega mais do que produz"))</f>
        <v>Emprega mais do que produz</v>
      </c>
    </row>
    <row r="10" customFormat="false" ht="15" hidden="false" customHeight="false" outlineLevel="0" collapsed="false">
      <c r="A10" s="11" t="s">
        <v>164</v>
      </c>
      <c r="B10" s="28" t="n">
        <f aca="false">SUMIF(dSetor_CNAE_IBGE!$C$5:$C$25,A10,dSetor_CNAE_IBGE!$E$5:$E$25)</f>
        <v>112</v>
      </c>
      <c r="C10" s="26" t="n">
        <f aca="false">B10/$B$11</f>
        <v>0.000541803528495479</v>
      </c>
      <c r="D10" s="26" t="n">
        <f aca="false">INDEX(fato_PIB!$AC$2:$AC$23,MATCH($B$4,fato_PIB!$A$2:$A$23,0))/100</f>
        <v>0.074298</v>
      </c>
      <c r="E10" s="25" t="n">
        <f aca="false">INDEX(fato_PIB!$S$2:$S$23,MATCH($B$4,fato_PIB!$A$2:$A$23,0))/1000000000</f>
        <v>3.1928454910286</v>
      </c>
      <c r="F10" s="28" t="str">
        <f aca="false">IF(A10="Administração pública","não comparável",E10*1000000000/B10/1000)</f>
        <v>não comparável</v>
      </c>
      <c r="G10" s="4" t="str">
        <f aca="false">IF(A10="Administração pública","Emprego público quase ausente na base RAIS",IF(D10&gt;C10,"Produz mais do que emprega","Emprega mais do que produz"))</f>
        <v>Emprego público quase ausente na base RAIS</v>
      </c>
    </row>
    <row r="11" customFormat="false" ht="15" hidden="false" customHeight="false" outlineLevel="0" collapsed="false">
      <c r="A11" s="30" t="s">
        <v>137</v>
      </c>
      <c r="B11" s="32" t="n">
        <f aca="false">SUM(B7:B10)</f>
        <v>206717</v>
      </c>
      <c r="C11" s="33" t="n">
        <f aca="false">SUM(C7:C10)</f>
        <v>1</v>
      </c>
      <c r="D11" s="33" t="n">
        <f aca="false">SUM(D7:D10)</f>
        <v>1</v>
      </c>
      <c r="E11" s="34" t="n">
        <f aca="false">SUM(E7:E10)</f>
        <v>42.9732944682002</v>
      </c>
    </row>
    <row r="14" customFormat="false" ht="15" hidden="false" customHeight="false" outlineLevel="0" collapsed="false">
      <c r="A14" s="3" t="s">
        <v>165</v>
      </c>
    </row>
    <row r="15" customFormat="false" ht="15" hidden="false" customHeight="false" outlineLevel="0" collapsed="false">
      <c r="A15" s="10" t="s">
        <v>166</v>
      </c>
      <c r="B15" s="10" t="s">
        <v>167</v>
      </c>
      <c r="C15" s="10" t="s">
        <v>56</v>
      </c>
      <c r="D15" s="10" t="s">
        <v>168</v>
      </c>
    </row>
    <row r="16" customFormat="false" ht="15" hidden="false" customHeight="false" outlineLevel="0" collapsed="false">
      <c r="A16" s="4" t="s">
        <v>169</v>
      </c>
      <c r="B16" s="7" t="n">
        <f aca="false">INDEX(fato_PIB!$B$2:$B$23,MATCH(MAX(fato_PIB!$A$2:$A$23),fato_PIB!$A$2:$A$23,0))/B11/1000</f>
        <v>296.997944049111</v>
      </c>
      <c r="C16" s="4" t="s">
        <v>170</v>
      </c>
      <c r="D16" s="4" t="s">
        <v>171</v>
      </c>
    </row>
    <row r="17" customFormat="false" ht="15" hidden="false" customHeight="false" outlineLevel="0" collapsed="false">
      <c r="A17" s="4" t="s">
        <v>172</v>
      </c>
      <c r="B17" s="6" t="n">
        <f aca="false">B11/INDEX(dPopulacao!$B$2:$B$100,MATCH(2024,dPopulacao!$A$2:$A$100,0))*1000</f>
        <v>285.222888806716</v>
      </c>
      <c r="C17" s="4" t="s">
        <v>173</v>
      </c>
      <c r="D17" s="4" t="s">
        <v>174</v>
      </c>
    </row>
    <row r="18" customFormat="false" ht="15" hidden="false" customHeight="false" outlineLevel="0" collapsed="false">
      <c r="A18" s="4" t="s">
        <v>175</v>
      </c>
      <c r="B18" s="35" t="n">
        <f aca="false">(D8-C8)*100</f>
        <v>17.5947647677743</v>
      </c>
      <c r="C18" s="4" t="s">
        <v>176</v>
      </c>
      <c r="D18" s="4" t="s">
        <v>177</v>
      </c>
    </row>
    <row r="20" customFormat="false" ht="15" hidden="false" customHeight="false" outlineLevel="0" collapsed="false">
      <c r="A20" s="2" t="s">
        <v>178</v>
      </c>
    </row>
    <row r="21" customFormat="false" ht="15" hidden="false" customHeight="false" outlineLevel="0" collapsed="false">
      <c r="A21" s="2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180</v>
      </c>
    </row>
    <row r="2" customFormat="false" ht="15" hidden="false" customHeight="false" outlineLevel="0" collapsed="false">
      <c r="A2" s="2" t="s">
        <v>181</v>
      </c>
    </row>
    <row r="4" customFormat="false" ht="23.85" hidden="false" customHeight="false" outlineLevel="0" collapsed="false">
      <c r="A4" s="10" t="s">
        <v>64</v>
      </c>
      <c r="B4" s="10" t="s">
        <v>182</v>
      </c>
      <c r="C4" s="10" t="s">
        <v>183</v>
      </c>
      <c r="D4" s="10" t="s">
        <v>184</v>
      </c>
      <c r="E4" s="10" t="s">
        <v>185</v>
      </c>
    </row>
    <row r="5" customFormat="false" ht="15" hidden="false" customHeight="false" outlineLevel="0" collapsed="false">
      <c r="A5" s="5" t="n">
        <v>2002</v>
      </c>
      <c r="B5" s="25" t="n">
        <f aca="false">INDEX(dIPCA!$B$2:$B$100,MATCH(A5,dIPCA!$A$2:$A$100,0))</f>
        <v>12.53</v>
      </c>
      <c r="C5" s="36" t="n">
        <f aca="false">C6*(1+B6/100)</f>
        <v>3.32102515053943</v>
      </c>
      <c r="D5" s="36" t="n">
        <f aca="false">INDEX(fato_PIB!$M$2:$M$23,MATCH(A5,fato_PIB!$A$2:$A$23,0))</f>
        <v>3.321</v>
      </c>
      <c r="E5" s="37" t="n">
        <f aca="false">C5-D5</f>
        <v>2.51505394337492E-005</v>
      </c>
    </row>
    <row r="6" customFormat="false" ht="15" hidden="false" customHeight="false" outlineLevel="0" collapsed="false">
      <c r="A6" s="5" t="n">
        <v>2003</v>
      </c>
      <c r="B6" s="25" t="n">
        <f aca="false">INDEX(dIPCA!$B$2:$B$100,MATCH(A6,dIPCA!$A$2:$A$100,0))</f>
        <v>9.3</v>
      </c>
      <c r="C6" s="36" t="n">
        <f aca="false">C7*(1+B7/100)</f>
        <v>3.03844936005438</v>
      </c>
      <c r="D6" s="36" t="n">
        <f aca="false">INDEX(fato_PIB!$M$2:$M$23,MATCH(A6,fato_PIB!$A$2:$A$23,0))</f>
        <v>3.0384</v>
      </c>
      <c r="E6" s="37" t="n">
        <f aca="false">C6-D6</f>
        <v>4.93600543767236E-005</v>
      </c>
    </row>
    <row r="7" customFormat="false" ht="15" hidden="false" customHeight="false" outlineLevel="0" collapsed="false">
      <c r="A7" s="5" t="n">
        <v>2004</v>
      </c>
      <c r="B7" s="25" t="n">
        <f aca="false">INDEX(dIPCA!$B$2:$B$100,MATCH(A7,dIPCA!$A$2:$A$100,0))</f>
        <v>7.6</v>
      </c>
      <c r="C7" s="36" t="n">
        <f aca="false">C8*(1+B8/100)</f>
        <v>2.82383769521782</v>
      </c>
      <c r="D7" s="36" t="n">
        <f aca="false">INDEX(fato_PIB!$M$2:$M$23,MATCH(A7,fato_PIB!$A$2:$A$23,0))</f>
        <v>2.8238</v>
      </c>
      <c r="E7" s="37" t="n">
        <f aca="false">C7-D7</f>
        <v>3.76952178222645E-005</v>
      </c>
    </row>
    <row r="8" customFormat="false" ht="15" hidden="false" customHeight="false" outlineLevel="0" collapsed="false">
      <c r="A8" s="5" t="n">
        <v>2005</v>
      </c>
      <c r="B8" s="25" t="n">
        <f aca="false">INDEX(dIPCA!$B$2:$B$100,MATCH(A8,dIPCA!$A$2:$A$100,0))</f>
        <v>5.69</v>
      </c>
      <c r="C8" s="36" t="n">
        <f aca="false">C9*(1+B9/100)</f>
        <v>2.6718116143607</v>
      </c>
      <c r="D8" s="36" t="n">
        <f aca="false">INDEX(fato_PIB!$M$2:$M$23,MATCH(A8,fato_PIB!$A$2:$A$23,0))</f>
        <v>2.6718</v>
      </c>
      <c r="E8" s="37" t="n">
        <f aca="false">C8-D8</f>
        <v>1.16143606985197E-005</v>
      </c>
    </row>
    <row r="9" customFormat="false" ht="15" hidden="false" customHeight="false" outlineLevel="0" collapsed="false">
      <c r="A9" s="5" t="n">
        <v>2006</v>
      </c>
      <c r="B9" s="25" t="n">
        <f aca="false">INDEX(dIPCA!$B$2:$B$100,MATCH(A9,dIPCA!$A$2:$A$100,0))</f>
        <v>3.14</v>
      </c>
      <c r="C9" s="36" t="n">
        <f aca="false">C10*(1+B10/100)</f>
        <v>2.59047083028961</v>
      </c>
      <c r="D9" s="36" t="n">
        <f aca="false">INDEX(fato_PIB!$M$2:$M$23,MATCH(A9,fato_PIB!$A$2:$A$23,0))</f>
        <v>2.5905</v>
      </c>
      <c r="E9" s="37" t="n">
        <f aca="false">C9-D9</f>
        <v>-2.91697103951272E-005</v>
      </c>
    </row>
    <row r="10" customFormat="false" ht="15" hidden="false" customHeight="false" outlineLevel="0" collapsed="false">
      <c r="A10" s="5" t="n">
        <v>2007</v>
      </c>
      <c r="B10" s="25" t="n">
        <f aca="false">INDEX(dIPCA!$B$2:$B$100,MATCH(A10,dIPCA!$A$2:$A$100,0))</f>
        <v>4.46</v>
      </c>
      <c r="C10" s="36" t="n">
        <f aca="false">C11*(1+B11/100)</f>
        <v>2.47986868685583</v>
      </c>
      <c r="D10" s="36" t="n">
        <f aca="false">INDEX(fato_PIB!$M$2:$M$23,MATCH(A10,fato_PIB!$A$2:$A$23,0))</f>
        <v>2.4799</v>
      </c>
      <c r="E10" s="37" t="n">
        <f aca="false">C10-D10</f>
        <v>-3.13131441656012E-005</v>
      </c>
    </row>
    <row r="11" customFormat="false" ht="15" hidden="false" customHeight="false" outlineLevel="0" collapsed="false">
      <c r="A11" s="5" t="n">
        <v>2008</v>
      </c>
      <c r="B11" s="25" t="n">
        <f aca="false">INDEX(dIPCA!$B$2:$B$100,MATCH(A11,dIPCA!$A$2:$A$100,0))</f>
        <v>5.9</v>
      </c>
      <c r="C11" s="36" t="n">
        <f aca="false">C12*(1+B12/100)</f>
        <v>2.34170791959947</v>
      </c>
      <c r="D11" s="36" t="n">
        <f aca="false">INDEX(fato_PIB!$M$2:$M$23,MATCH(A11,fato_PIB!$A$2:$A$23,0))</f>
        <v>2.3417</v>
      </c>
      <c r="E11" s="37" t="n">
        <f aca="false">C11-D11</f>
        <v>7.91959946644383E-006</v>
      </c>
    </row>
    <row r="12" customFormat="false" ht="15" hidden="false" customHeight="false" outlineLevel="0" collapsed="false">
      <c r="A12" s="5" t="n">
        <v>2009</v>
      </c>
      <c r="B12" s="25" t="n">
        <f aca="false">INDEX(dIPCA!$B$2:$B$100,MATCH(A12,dIPCA!$A$2:$A$100,0))</f>
        <v>4.31</v>
      </c>
      <c r="C12" s="36" t="n">
        <f aca="false">C13*(1+B13/100)</f>
        <v>2.24495055085751</v>
      </c>
      <c r="D12" s="36" t="n">
        <f aca="false">INDEX(fato_PIB!$M$2:$M$23,MATCH(A12,fato_PIB!$A$2:$A$23,0))</f>
        <v>2.245</v>
      </c>
      <c r="E12" s="37" t="n">
        <f aca="false">C12-D12</f>
        <v>-4.94491424922749E-005</v>
      </c>
    </row>
    <row r="13" customFormat="false" ht="15" hidden="false" customHeight="false" outlineLevel="0" collapsed="false">
      <c r="A13" s="5" t="n">
        <v>2010</v>
      </c>
      <c r="B13" s="25" t="n">
        <f aca="false">INDEX(dIPCA!$B$2:$B$100,MATCH(A13,dIPCA!$A$2:$A$100,0))</f>
        <v>5.91</v>
      </c>
      <c r="C13" s="36" t="n">
        <f aca="false">C14*(1+B14/100)</f>
        <v>2.11967760443538</v>
      </c>
      <c r="D13" s="36" t="n">
        <f aca="false">INDEX(fato_PIB!$M$2:$M$23,MATCH(A13,fato_PIB!$A$2:$A$23,0))</f>
        <v>2.1197</v>
      </c>
      <c r="E13" s="37" t="n">
        <f aca="false">C13-D13</f>
        <v>-2.23955646228013E-005</v>
      </c>
    </row>
    <row r="14" customFormat="false" ht="15" hidden="false" customHeight="false" outlineLevel="0" collapsed="false">
      <c r="A14" s="5" t="n">
        <v>2011</v>
      </c>
      <c r="B14" s="25" t="n">
        <f aca="false">INDEX(dIPCA!$B$2:$B$100,MATCH(A14,dIPCA!$A$2:$A$100,0))</f>
        <v>6.5</v>
      </c>
      <c r="C14" s="36" t="n">
        <f aca="false">C15*(1+B15/100)</f>
        <v>1.99030760979848</v>
      </c>
      <c r="D14" s="36" t="n">
        <f aca="false">INDEX(fato_PIB!$M$2:$M$23,MATCH(A14,fato_PIB!$A$2:$A$23,0))</f>
        <v>1.9903</v>
      </c>
      <c r="E14" s="37" t="n">
        <f aca="false">C14-D14</f>
        <v>7.60979847647114E-006</v>
      </c>
    </row>
    <row r="15" customFormat="false" ht="15" hidden="false" customHeight="false" outlineLevel="0" collapsed="false">
      <c r="A15" s="5" t="n">
        <v>2012</v>
      </c>
      <c r="B15" s="25" t="n">
        <f aca="false">INDEX(dIPCA!$B$2:$B$100,MATCH(A15,dIPCA!$A$2:$A$100,0))</f>
        <v>5.84</v>
      </c>
      <c r="C15" s="36" t="n">
        <f aca="false">C16*(1+B16/100)</f>
        <v>1.88048715967354</v>
      </c>
      <c r="D15" s="36" t="n">
        <f aca="false">INDEX(fato_PIB!$M$2:$M$23,MATCH(A15,fato_PIB!$A$2:$A$23,0))</f>
        <v>1.8805</v>
      </c>
      <c r="E15" s="37" t="n">
        <f aca="false">C15-D15</f>
        <v>-1.28403264585408E-005</v>
      </c>
    </row>
    <row r="16" customFormat="false" ht="15" hidden="false" customHeight="false" outlineLevel="0" collapsed="false">
      <c r="A16" s="5" t="n">
        <v>2013</v>
      </c>
      <c r="B16" s="25" t="n">
        <f aca="false">INDEX(dIPCA!$B$2:$B$100,MATCH(A16,dIPCA!$A$2:$A$100,0))</f>
        <v>5.91</v>
      </c>
      <c r="C16" s="36" t="n">
        <f aca="false">C17*(1+B17/100)</f>
        <v>1.77555203443824</v>
      </c>
      <c r="D16" s="36" t="n">
        <f aca="false">INDEX(fato_PIB!$M$2:$M$23,MATCH(A16,fato_PIB!$A$2:$A$23,0))</f>
        <v>1.7756</v>
      </c>
      <c r="E16" s="37" t="n">
        <f aca="false">C16-D16</f>
        <v>-4.79655617584562E-005</v>
      </c>
    </row>
    <row r="17" customFormat="false" ht="15" hidden="false" customHeight="false" outlineLevel="0" collapsed="false">
      <c r="A17" s="5" t="n">
        <v>2014</v>
      </c>
      <c r="B17" s="25" t="n">
        <f aca="false">INDEX(dIPCA!$B$2:$B$100,MATCH(A17,dIPCA!$A$2:$A$100,0))</f>
        <v>6.41</v>
      </c>
      <c r="C17" s="36" t="n">
        <f aca="false">C18*(1+B18/100)</f>
        <v>1.66859508921929</v>
      </c>
      <c r="D17" s="36" t="n">
        <f aca="false">INDEX(fato_PIB!$M$2:$M$23,MATCH(A17,fato_PIB!$A$2:$A$23,0))</f>
        <v>1.6686</v>
      </c>
      <c r="E17" s="37" t="n">
        <f aca="false">C17-D17</f>
        <v>-4.91078071473972E-006</v>
      </c>
    </row>
    <row r="18" customFormat="false" ht="15" hidden="false" customHeight="false" outlineLevel="0" collapsed="false">
      <c r="A18" s="5" t="n">
        <v>2015</v>
      </c>
      <c r="B18" s="25" t="n">
        <f aca="false">INDEX(dIPCA!$B$2:$B$100,MATCH(A18,dIPCA!$A$2:$A$100,0))</f>
        <v>10.67</v>
      </c>
      <c r="C18" s="36" t="n">
        <f aca="false">C19*(1+B19/100)</f>
        <v>1.50772123359473</v>
      </c>
      <c r="D18" s="36" t="n">
        <f aca="false">INDEX(fato_PIB!$M$2:$M$23,MATCH(A18,fato_PIB!$A$2:$A$23,0))</f>
        <v>1.5077</v>
      </c>
      <c r="E18" s="37" t="n">
        <f aca="false">C18-D18</f>
        <v>2.12335947278319E-005</v>
      </c>
    </row>
    <row r="19" customFormat="false" ht="15" hidden="false" customHeight="false" outlineLevel="0" collapsed="false">
      <c r="A19" s="5" t="n">
        <v>2016</v>
      </c>
      <c r="B19" s="25" t="n">
        <f aca="false">INDEX(dIPCA!$B$2:$B$100,MATCH(A19,dIPCA!$A$2:$A$100,0))</f>
        <v>6.29</v>
      </c>
      <c r="C19" s="36" t="n">
        <f aca="false">C20*(1+B20/100)</f>
        <v>1.41849772659209</v>
      </c>
      <c r="D19" s="36" t="n">
        <f aca="false">INDEX(fato_PIB!$M$2:$M$23,MATCH(A19,fato_PIB!$A$2:$A$23,0))</f>
        <v>1.4185</v>
      </c>
      <c r="E19" s="37" t="n">
        <f aca="false">C19-D19</f>
        <v>-2.27340791436603E-006</v>
      </c>
    </row>
    <row r="20" customFormat="false" ht="15" hidden="false" customHeight="false" outlineLevel="0" collapsed="false">
      <c r="A20" s="5" t="n">
        <v>2017</v>
      </c>
      <c r="B20" s="25" t="n">
        <f aca="false">INDEX(dIPCA!$B$2:$B$100,MATCH(A20,dIPCA!$A$2:$A$100,0))</f>
        <v>2.95</v>
      </c>
      <c r="C20" s="36" t="n">
        <f aca="false">C21*(1+B21/100)</f>
        <v>1.37785111859358</v>
      </c>
      <c r="D20" s="36" t="n">
        <f aca="false">INDEX(fato_PIB!$M$2:$M$23,MATCH(A20,fato_PIB!$A$2:$A$23,0))</f>
        <v>1.3779</v>
      </c>
      <c r="E20" s="37" t="n">
        <f aca="false">C20-D20</f>
        <v>-4.88814064247833E-005</v>
      </c>
    </row>
    <row r="21" customFormat="false" ht="15" hidden="false" customHeight="false" outlineLevel="0" collapsed="false">
      <c r="A21" s="5" t="n">
        <v>2018</v>
      </c>
      <c r="B21" s="25" t="n">
        <f aca="false">INDEX(dIPCA!$B$2:$B$100,MATCH(A21,dIPCA!$A$2:$A$100,0))</f>
        <v>3.75</v>
      </c>
      <c r="C21" s="36" t="n">
        <f aca="false">C22*(1+B22/100)</f>
        <v>1.32804927093357</v>
      </c>
      <c r="D21" s="36" t="n">
        <f aca="false">INDEX(fato_PIB!$M$2:$M$23,MATCH(A21,fato_PIB!$A$2:$A$23,0))</f>
        <v>1.328</v>
      </c>
      <c r="E21" s="37" t="n">
        <f aca="false">C21-D21</f>
        <v>4.92709335662145E-005</v>
      </c>
    </row>
    <row r="22" customFormat="false" ht="15" hidden="false" customHeight="false" outlineLevel="0" collapsed="false">
      <c r="A22" s="5" t="n">
        <v>2019</v>
      </c>
      <c r="B22" s="25" t="n">
        <f aca="false">INDEX(dIPCA!$B$2:$B$100,MATCH(A22,dIPCA!$A$2:$A$100,0))</f>
        <v>4.31</v>
      </c>
      <c r="C22" s="36" t="n">
        <f aca="false">C23*(1+B23/100)</f>
        <v>1.27317541073106</v>
      </c>
      <c r="D22" s="36" t="n">
        <f aca="false">INDEX(fato_PIB!$M$2:$M$23,MATCH(A22,fato_PIB!$A$2:$A$23,0))</f>
        <v>1.2732</v>
      </c>
      <c r="E22" s="37" t="n">
        <f aca="false">C22-D22</f>
        <v>-2.45892689423322E-005</v>
      </c>
    </row>
    <row r="23" customFormat="false" ht="15" hidden="false" customHeight="false" outlineLevel="0" collapsed="false">
      <c r="A23" s="5" t="n">
        <v>2020</v>
      </c>
      <c r="B23" s="25" t="n">
        <f aca="false">INDEX(dIPCA!$B$2:$B$100,MATCH(A23,dIPCA!$A$2:$A$100,0))</f>
        <v>4.52</v>
      </c>
      <c r="C23" s="36" t="n">
        <f aca="false">C24*(1+B24/100)</f>
        <v>1.218116542988</v>
      </c>
      <c r="D23" s="36" t="n">
        <f aca="false">INDEX(fato_PIB!$M$2:$M$23,MATCH(A23,fato_PIB!$A$2:$A$23,0))</f>
        <v>1.2181</v>
      </c>
      <c r="E23" s="37" t="n">
        <f aca="false">C23-D23</f>
        <v>1.65429880003565E-005</v>
      </c>
    </row>
    <row r="24" customFormat="false" ht="15" hidden="false" customHeight="false" outlineLevel="0" collapsed="false">
      <c r="A24" s="5" t="n">
        <v>2021</v>
      </c>
      <c r="B24" s="25" t="n">
        <f aca="false">INDEX(dIPCA!$B$2:$B$100,MATCH(A24,dIPCA!$A$2:$A$100,0))</f>
        <v>10.06</v>
      </c>
      <c r="C24" s="36" t="n">
        <f aca="false">C25*(1+B25/100)</f>
        <v>1.10677498</v>
      </c>
      <c r="D24" s="36" t="n">
        <f aca="false">INDEX(fato_PIB!$M$2:$M$23,MATCH(A24,fato_PIB!$A$2:$A$23,0))</f>
        <v>1.1068</v>
      </c>
      <c r="E24" s="37" t="n">
        <f aca="false">C24-D24</f>
        <v>-2.50199999998202E-005</v>
      </c>
    </row>
    <row r="25" customFormat="false" ht="15" hidden="false" customHeight="false" outlineLevel="0" collapsed="false">
      <c r="A25" s="5" t="n">
        <v>2022</v>
      </c>
      <c r="B25" s="25" t="n">
        <f aca="false">INDEX(dIPCA!$B$2:$B$100,MATCH(A25,dIPCA!$A$2:$A$100,0))</f>
        <v>5.79</v>
      </c>
      <c r="C25" s="36" t="n">
        <f aca="false">C26*(1+B26/100)</f>
        <v>1.0462</v>
      </c>
      <c r="D25" s="36" t="n">
        <f aca="false">INDEX(fato_PIB!$M$2:$M$23,MATCH(A25,fato_PIB!$A$2:$A$23,0))</f>
        <v>1.0462</v>
      </c>
      <c r="E25" s="37" t="n">
        <f aca="false">C25-D25</f>
        <v>0</v>
      </c>
    </row>
    <row r="26" customFormat="false" ht="15" hidden="false" customHeight="false" outlineLevel="0" collapsed="false">
      <c r="A26" s="5" t="n">
        <v>2023</v>
      </c>
      <c r="B26" s="25" t="n">
        <f aca="false">INDEX(dIPCA!$B$2:$B$100,MATCH(A26,dIPCA!$A$2:$A$100,0))</f>
        <v>4.62</v>
      </c>
      <c r="C26" s="36" t="n">
        <v>1</v>
      </c>
      <c r="D26" s="36" t="n">
        <f aca="false">INDEX(fato_PIB!$M$2:$M$23,MATCH(A26,fato_PIB!$A$2:$A$23,0))</f>
        <v>1</v>
      </c>
      <c r="E26" s="37" t="n">
        <f aca="false">C26-D26</f>
        <v>0</v>
      </c>
    </row>
    <row r="28" customFormat="false" ht="15" hidden="false" customHeight="false" outlineLevel="0" collapsed="false">
      <c r="A28" s="11" t="s">
        <v>186</v>
      </c>
    </row>
    <row r="29" customFormat="false" ht="15" hidden="false" customHeight="false" outlineLevel="0" collapsed="false">
      <c r="A29" s="2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5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188</v>
      </c>
    </row>
    <row r="2" customFormat="false" ht="15" hidden="false" customHeight="false" outlineLevel="0" collapsed="false">
      <c r="A2" s="2" t="s">
        <v>189</v>
      </c>
    </row>
    <row r="4" customFormat="false" ht="23.85" hidden="false" customHeight="false" outlineLevel="0" collapsed="false">
      <c r="A4" s="10" t="s">
        <v>64</v>
      </c>
      <c r="B4" s="10" t="s">
        <v>190</v>
      </c>
      <c r="C4" s="10" t="s">
        <v>191</v>
      </c>
      <c r="D4" s="10" t="s">
        <v>192</v>
      </c>
      <c r="E4" s="10" t="s">
        <v>193</v>
      </c>
      <c r="F4" s="10" t="s">
        <v>194</v>
      </c>
      <c r="G4" s="10" t="s">
        <v>195</v>
      </c>
    </row>
    <row r="5" customFormat="false" ht="15" hidden="false" customHeight="false" outlineLevel="0" collapsed="false">
      <c r="A5" s="5" t="n">
        <f aca="false">fato_PIB!A2</f>
        <v>2002</v>
      </c>
      <c r="B5" s="25" t="n">
        <f aca="false">fato_PIB!B2/fato_PIB!J2</f>
        <v>23826.4440513838</v>
      </c>
      <c r="C5" s="36" t="n">
        <f aca="false">B5-fato_PIB!X2</f>
        <v>-4.86162498418707E-005</v>
      </c>
      <c r="D5" s="28" t="n">
        <f aca="false">fato_PIB!B2*Deflator_IPCA!C5</f>
        <v>44288855984.0537</v>
      </c>
      <c r="E5" s="25" t="n">
        <f aca="false">D5-fato_PIB!N2</f>
        <v>0</v>
      </c>
      <c r="F5" s="28" t="n">
        <f aca="false">IF(fato_PIB!C2="","sem setor",fato_PIB!D2+fato_PIB!E2+fato_PIB!F2+fato_PIB!G2-fato_PIB!C2)</f>
        <v>-1000</v>
      </c>
      <c r="G5" s="28" t="n">
        <f aca="false">IF(fato_PIB!C2="","sem setor",fato_PIB!C2+fato_PIB!H2-fato_PIB!B2)</f>
        <v>1000</v>
      </c>
    </row>
    <row r="6" customFormat="false" ht="15" hidden="false" customHeight="false" outlineLevel="0" collapsed="false">
      <c r="A6" s="5" t="n">
        <f aca="false">fato_PIB!A3</f>
        <v>2003</v>
      </c>
      <c r="B6" s="25" t="n">
        <f aca="false">fato_PIB!B3/fato_PIB!J3</f>
        <v>27884.1555438818</v>
      </c>
      <c r="C6" s="36" t="n">
        <f aca="false">B6-fato_PIB!X3</f>
        <v>4.38817805843428E-005</v>
      </c>
      <c r="D6" s="28" t="n">
        <f aca="false">fato_PIB!B3*Deflator_IPCA!C6</f>
        <v>48223290562.4102</v>
      </c>
      <c r="E6" s="25" t="n">
        <f aca="false">D6-fato_PIB!N3</f>
        <v>0</v>
      </c>
      <c r="F6" s="28" t="n">
        <f aca="false">IF(fato_PIB!C3="","sem setor",fato_PIB!D3+fato_PIB!E3+fato_PIB!F3+fato_PIB!G3-fato_PIB!C3)</f>
        <v>0</v>
      </c>
      <c r="G6" s="28" t="n">
        <f aca="false">IF(fato_PIB!C3="","sem setor",fato_PIB!C3+fato_PIB!H3-fato_PIB!B3)</f>
        <v>0</v>
      </c>
    </row>
    <row r="7" customFormat="false" ht="15" hidden="false" customHeight="false" outlineLevel="0" collapsed="false">
      <c r="A7" s="5" t="n">
        <f aca="false">fato_PIB!A4</f>
        <v>2004</v>
      </c>
      <c r="B7" s="25" t="n">
        <f aca="false">fato_PIB!B4/fato_PIB!J4</f>
        <v>31701.2290976997</v>
      </c>
      <c r="C7" s="36" t="n">
        <f aca="false">B7-fato_PIB!X4</f>
        <v>-2.30031582759693E-006</v>
      </c>
      <c r="D7" s="28" t="n">
        <f aca="false">fato_PIB!B4*Deflator_IPCA!C7</f>
        <v>52731240999.9588</v>
      </c>
      <c r="E7" s="25" t="n">
        <f aca="false">D7-fato_PIB!N4</f>
        <v>0</v>
      </c>
      <c r="F7" s="28" t="n">
        <f aca="false">IF(fato_PIB!C4="","sem setor",fato_PIB!D4+fato_PIB!E4+fato_PIB!F4+fato_PIB!G4-fato_PIB!C4)</f>
        <v>2000</v>
      </c>
      <c r="G7" s="28" t="n">
        <f aca="false">IF(fato_PIB!C4="","sem setor",fato_PIB!C4+fato_PIB!H4-fato_PIB!B4)</f>
        <v>-1000</v>
      </c>
    </row>
    <row r="8" customFormat="false" ht="15" hidden="false" customHeight="false" outlineLevel="0" collapsed="false">
      <c r="A8" s="5" t="n">
        <f aca="false">fato_PIB!A5</f>
        <v>2005</v>
      </c>
      <c r="B8" s="25" t="n">
        <f aca="false">fato_PIB!B5/fato_PIB!J5</f>
        <v>30766.9640312708</v>
      </c>
      <c r="C8" s="36" t="n">
        <f aca="false">B8-fato_PIB!X5</f>
        <v>3.12707779812627E-005</v>
      </c>
      <c r="D8" s="28" t="n">
        <f aca="false">fato_PIB!B5*Deflator_IPCA!C8</f>
        <v>49326147075.4803</v>
      </c>
      <c r="E8" s="25" t="n">
        <f aca="false">D8-fato_PIB!N5</f>
        <v>0</v>
      </c>
      <c r="F8" s="28" t="n">
        <f aca="false">IF(fato_PIB!C5="","sem setor",fato_PIB!D5+fato_PIB!E5+fato_PIB!F5+fato_PIB!G5-fato_PIB!C5)</f>
        <v>0</v>
      </c>
      <c r="G8" s="28" t="n">
        <f aca="false">IF(fato_PIB!C5="","sem setor",fato_PIB!C5+fato_PIB!H5-fato_PIB!B5)</f>
        <v>0</v>
      </c>
    </row>
    <row r="9" customFormat="false" ht="15" hidden="false" customHeight="false" outlineLevel="0" collapsed="false">
      <c r="A9" s="5" t="n">
        <f aca="false">fato_PIB!A6</f>
        <v>2006</v>
      </c>
      <c r="B9" s="25" t="n">
        <f aca="false">fato_PIB!B6/fato_PIB!J6</f>
        <v>31000.5417658949</v>
      </c>
      <c r="C9" s="36" t="n">
        <f aca="false">B9-fato_PIB!X6</f>
        <v>-3.41050617862493E-005</v>
      </c>
      <c r="D9" s="28" t="n">
        <f aca="false">fato_PIB!B6*Deflator_IPCA!C9</f>
        <v>49064154781.5094</v>
      </c>
      <c r="E9" s="25" t="n">
        <f aca="false">D9-fato_PIB!N6</f>
        <v>0</v>
      </c>
      <c r="F9" s="28" t="n">
        <f aca="false">IF(fato_PIB!C6="","sem setor",fato_PIB!D6+fato_PIB!E6+fato_PIB!F6+fato_PIB!G6-fato_PIB!C6)</f>
        <v>0</v>
      </c>
      <c r="G9" s="28" t="n">
        <f aca="false">IF(fato_PIB!C6="","sem setor",fato_PIB!C6+fato_PIB!H6-fato_PIB!B6)</f>
        <v>0</v>
      </c>
    </row>
    <row r="10" customFormat="false" ht="15" hidden="false" customHeight="false" outlineLevel="0" collapsed="false">
      <c r="A10" s="5" t="n">
        <f aca="false">fato_PIB!A7</f>
        <v>2007</v>
      </c>
      <c r="B10" s="25" t="n">
        <f aca="false">fato_PIB!B7/fato_PIB!J7</f>
        <v>36744.814672879</v>
      </c>
      <c r="C10" s="36" t="n">
        <f aca="false">B10-fato_PIB!X7</f>
        <v>-2.71210301434621E-005</v>
      </c>
      <c r="D10" s="28" t="n">
        <f aca="false">fato_PIB!B7*Deflator_IPCA!C10</f>
        <v>54213039250.0019</v>
      </c>
      <c r="E10" s="25" t="n">
        <f aca="false">D10-fato_PIB!N7</f>
        <v>0</v>
      </c>
      <c r="F10" s="28" t="n">
        <f aca="false">IF(fato_PIB!C7="","sem setor",fato_PIB!D7+fato_PIB!E7+fato_PIB!F7+fato_PIB!G7-fato_PIB!C7)</f>
        <v>0</v>
      </c>
      <c r="G10" s="28" t="n">
        <f aca="false">IF(fato_PIB!C7="","sem setor",fato_PIB!C7+fato_PIB!H7-fato_PIB!B7)</f>
        <v>0</v>
      </c>
    </row>
    <row r="11" customFormat="false" ht="15" hidden="false" customHeight="false" outlineLevel="0" collapsed="false">
      <c r="A11" s="5" t="n">
        <f aca="false">fato_PIB!A8</f>
        <v>2008</v>
      </c>
      <c r="B11" s="25" t="n">
        <f aca="false">fato_PIB!B8/fato_PIB!J8</f>
        <v>40845.6212688496</v>
      </c>
      <c r="C11" s="36" t="n">
        <f aca="false">B11-fato_PIB!X8</f>
        <v>-3.11503536067903E-005</v>
      </c>
      <c r="D11" s="28" t="n">
        <f aca="false">fato_PIB!B8*Deflator_IPCA!C11</f>
        <v>58271849026.882</v>
      </c>
      <c r="E11" s="25" t="n">
        <f aca="false">D11-fato_PIB!N8</f>
        <v>0</v>
      </c>
      <c r="F11" s="28" t="n">
        <f aca="false">IF(fato_PIB!C8="","sem setor",fato_PIB!D8+fato_PIB!E8+fato_PIB!F8+fato_PIB!G8-fato_PIB!C8)</f>
        <v>0</v>
      </c>
      <c r="G11" s="28" t="n">
        <f aca="false">IF(fato_PIB!C8="","sem setor",fato_PIB!C8+fato_PIB!H8-fato_PIB!B8)</f>
        <v>0</v>
      </c>
    </row>
    <row r="12" customFormat="false" ht="15" hidden="false" customHeight="false" outlineLevel="0" collapsed="false">
      <c r="A12" s="5" t="n">
        <f aca="false">fato_PIB!A9</f>
        <v>2009</v>
      </c>
      <c r="B12" s="25" t="n">
        <f aca="false">fato_PIB!B9/fato_PIB!J9</f>
        <v>39888.6162849038</v>
      </c>
      <c r="C12" s="36" t="n">
        <f aca="false">B12-fato_PIB!X9</f>
        <v>-1.50961859617382E-005</v>
      </c>
      <c r="D12" s="28" t="n">
        <f aca="false">fato_PIB!B9*Deflator_IPCA!C12</f>
        <v>55149998510.3988</v>
      </c>
      <c r="E12" s="25" t="n">
        <f aca="false">D12-fato_PIB!N9</f>
        <v>0</v>
      </c>
      <c r="F12" s="28" t="n">
        <f aca="false">IF(fato_PIB!C9="","sem setor",fato_PIB!D9+fato_PIB!E9+fato_PIB!F9+fato_PIB!G9-fato_PIB!C9)</f>
        <v>1000</v>
      </c>
      <c r="G12" s="28" t="n">
        <f aca="false">IF(fato_PIB!C9="","sem setor",fato_PIB!C9+fato_PIB!H9-fato_PIB!B9)</f>
        <v>0</v>
      </c>
    </row>
    <row r="13" customFormat="false" ht="15" hidden="false" customHeight="false" outlineLevel="0" collapsed="false">
      <c r="A13" s="5" t="n">
        <f aca="false">fato_PIB!A10</f>
        <v>2010</v>
      </c>
      <c r="B13" s="25" t="n">
        <f aca="false">fato_PIB!B10/fato_PIB!J10</f>
        <v>41033.9233014934</v>
      </c>
      <c r="C13" s="36" t="n">
        <f aca="false">B13-fato_PIB!X10</f>
        <v>1.49336119648069E-006</v>
      </c>
      <c r="D13" s="28" t="n">
        <f aca="false">fato_PIB!B10*Deflator_IPCA!C13</f>
        <v>54789702277.5342</v>
      </c>
      <c r="E13" s="25" t="n">
        <f aca="false">D13-fato_PIB!N10</f>
        <v>0</v>
      </c>
      <c r="F13" s="28" t="n">
        <f aca="false">IF(fato_PIB!C10="","sem setor",fato_PIB!D10+fato_PIB!E10+fato_PIB!F10+fato_PIB!G10-fato_PIB!C10)</f>
        <v>-1000</v>
      </c>
      <c r="G13" s="28" t="n">
        <f aca="false">IF(fato_PIB!C10="","sem setor",fato_PIB!C10+fato_PIB!H10-fato_PIB!B10)</f>
        <v>1000</v>
      </c>
    </row>
    <row r="14" customFormat="false" ht="15" hidden="false" customHeight="false" outlineLevel="0" collapsed="false">
      <c r="A14" s="5" t="n">
        <f aca="false">fato_PIB!A11</f>
        <v>2011</v>
      </c>
      <c r="B14" s="25" t="n">
        <f aca="false">fato_PIB!B11/fato_PIB!J11</f>
        <v>40068.616182742</v>
      </c>
      <c r="C14" s="36" t="n">
        <f aca="false">B14-fato_PIB!X11</f>
        <v>-1.7257989384234E-005</v>
      </c>
      <c r="D14" s="28" t="n">
        <f aca="false">fato_PIB!B11*Deflator_IPCA!C14</f>
        <v>50790142414.4688</v>
      </c>
      <c r="E14" s="25" t="n">
        <f aca="false">D14-fato_PIB!N11</f>
        <v>0</v>
      </c>
      <c r="F14" s="28" t="n">
        <f aca="false">IF(fato_PIB!C11="","sem setor",fato_PIB!D11+fato_PIB!E11+fato_PIB!F11+fato_PIB!G11-fato_PIB!C11)</f>
        <v>0</v>
      </c>
      <c r="G14" s="28" t="n">
        <f aca="false">IF(fato_PIB!C11="","sem setor",fato_PIB!C11+fato_PIB!H11-fato_PIB!B11)</f>
        <v>0</v>
      </c>
    </row>
    <row r="15" customFormat="false" ht="15" hidden="false" customHeight="false" outlineLevel="0" collapsed="false">
      <c r="A15" s="5" t="n">
        <f aca="false">fato_PIB!A12</f>
        <v>2012</v>
      </c>
      <c r="B15" s="25" t="n">
        <f aca="false">fato_PIB!B12/fato_PIB!J12</f>
        <v>41306.129710396</v>
      </c>
      <c r="C15" s="36" t="n">
        <f aca="false">B15-fato_PIB!X12</f>
        <v>1.03960046544671E-005</v>
      </c>
      <c r="D15" s="28" t="n">
        <f aca="false">fato_PIB!B12*Deflator_IPCA!C15</f>
        <v>49992279137.644</v>
      </c>
      <c r="E15" s="25" t="n">
        <f aca="false">D15-fato_PIB!N12</f>
        <v>0</v>
      </c>
      <c r="F15" s="28" t="n">
        <f aca="false">IF(fato_PIB!C12="","sem setor",fato_PIB!D12+fato_PIB!E12+fato_PIB!F12+fato_PIB!G12-fato_PIB!C12)</f>
        <v>0</v>
      </c>
      <c r="G15" s="28" t="n">
        <f aca="false">IF(fato_PIB!C12="","sem setor",fato_PIB!C12+fato_PIB!H12-fato_PIB!B12)</f>
        <v>-1000</v>
      </c>
    </row>
    <row r="16" customFormat="false" ht="15" hidden="false" customHeight="false" outlineLevel="0" collapsed="false">
      <c r="A16" s="5" t="n">
        <f aca="false">fato_PIB!A13</f>
        <v>2013</v>
      </c>
      <c r="B16" s="25" t="n">
        <f aca="false">fato_PIB!B13/fato_PIB!J13</f>
        <v>42019.8884523695</v>
      </c>
      <c r="C16" s="36" t="n">
        <f aca="false">B16-fato_PIB!X13</f>
        <v>-4.76305431220681E-005</v>
      </c>
      <c r="D16" s="28" t="n">
        <f aca="false">fato_PIB!B13*Deflator_IPCA!C16</f>
        <v>50230544609.4613</v>
      </c>
      <c r="E16" s="25" t="n">
        <f aca="false">D16-fato_PIB!N13</f>
        <v>0</v>
      </c>
      <c r="F16" s="28" t="n">
        <f aca="false">IF(fato_PIB!C13="","sem setor",fato_PIB!D13+fato_PIB!E13+fato_PIB!F13+fato_PIB!G13-fato_PIB!C13)</f>
        <v>-1000</v>
      </c>
      <c r="G16" s="28" t="n">
        <f aca="false">IF(fato_PIB!C13="","sem setor",fato_PIB!C13+fato_PIB!H13-fato_PIB!B13)</f>
        <v>0</v>
      </c>
    </row>
    <row r="17" customFormat="false" ht="15" hidden="false" customHeight="false" outlineLevel="0" collapsed="false">
      <c r="A17" s="5" t="n">
        <f aca="false">fato_PIB!A14</f>
        <v>2014</v>
      </c>
      <c r="B17" s="25" t="n">
        <f aca="false">fato_PIB!B14/fato_PIB!J14</f>
        <v>44555.1600796434</v>
      </c>
      <c r="C17" s="36" t="n">
        <f aca="false">B17-fato_PIB!X14</f>
        <v>-2.03566305572167E-005</v>
      </c>
      <c r="D17" s="28" t="n">
        <f aca="false">fato_PIB!B14*Deflator_IPCA!C17</f>
        <v>50631295413.7004</v>
      </c>
      <c r="E17" s="25" t="n">
        <f aca="false">D17-fato_PIB!N14</f>
        <v>0</v>
      </c>
      <c r="F17" s="28" t="n">
        <f aca="false">IF(fato_PIB!C14="","sem setor",fato_PIB!D14+fato_PIB!E14+fato_PIB!F14+fato_PIB!G14-fato_PIB!C14)</f>
        <v>0</v>
      </c>
      <c r="G17" s="28" t="n">
        <f aca="false">IF(fato_PIB!C14="","sem setor",fato_PIB!C14+fato_PIB!H14-fato_PIB!B14)</f>
        <v>0</v>
      </c>
    </row>
    <row r="18" customFormat="false" ht="15" hidden="false" customHeight="false" outlineLevel="0" collapsed="false">
      <c r="A18" s="5" t="n">
        <f aca="false">fato_PIB!A15</f>
        <v>2015</v>
      </c>
      <c r="B18" s="25" t="n">
        <f aca="false">fato_PIB!B15/fato_PIB!J15</f>
        <v>49215.4656497197</v>
      </c>
      <c r="C18" s="36" t="n">
        <f aca="false">B18-fato_PIB!X15</f>
        <v>4.97196451760829E-005</v>
      </c>
      <c r="D18" s="28" t="n">
        <f aca="false">fato_PIB!B15*Deflator_IPCA!C18</f>
        <v>51096102687.899</v>
      </c>
      <c r="E18" s="25" t="n">
        <f aca="false">D18-fato_PIB!N15</f>
        <v>0</v>
      </c>
      <c r="F18" s="28" t="n">
        <f aca="false">IF(fato_PIB!C15="","sem setor",fato_PIB!D15+fato_PIB!E15+fato_PIB!F15+fato_PIB!G15-fato_PIB!C15)</f>
        <v>-1000</v>
      </c>
      <c r="G18" s="28" t="n">
        <f aca="false">IF(fato_PIB!C15="","sem setor",fato_PIB!C15+fato_PIB!H15-fato_PIB!B15)</f>
        <v>0</v>
      </c>
    </row>
    <row r="19" customFormat="false" ht="15" hidden="false" customHeight="false" outlineLevel="0" collapsed="false">
      <c r="A19" s="5" t="n">
        <f aca="false">fato_PIB!A16</f>
        <v>2016</v>
      </c>
      <c r="B19" s="25" t="n">
        <f aca="false">fato_PIB!B16/fato_PIB!J16</f>
        <v>59814.2550489086</v>
      </c>
      <c r="C19" s="36" t="n">
        <f aca="false">B19-fato_PIB!X16</f>
        <v>4.89086087327451E-005</v>
      </c>
      <c r="D19" s="28" t="n">
        <f aca="false">fato_PIB!B16*Deflator_IPCA!C19</f>
        <v>59052405052.9761</v>
      </c>
      <c r="E19" s="25" t="n">
        <f aca="false">D19-fato_PIB!N16</f>
        <v>0</v>
      </c>
      <c r="F19" s="28" t="n">
        <f aca="false">IF(fato_PIB!C16="","sem setor",fato_PIB!D16+fato_PIB!E16+fato_PIB!F16+fato_PIB!G16-fato_PIB!C16)</f>
        <v>0</v>
      </c>
      <c r="G19" s="28" t="n">
        <f aca="false">IF(fato_PIB!C16="","sem setor",fato_PIB!C16+fato_PIB!H16-fato_PIB!B16)</f>
        <v>0</v>
      </c>
    </row>
    <row r="20" customFormat="false" ht="15" hidden="false" customHeight="false" outlineLevel="0" collapsed="false">
      <c r="A20" s="5" t="n">
        <f aca="false">fato_PIB!A17</f>
        <v>2017</v>
      </c>
      <c r="B20" s="25" t="n">
        <f aca="false">fato_PIB!B17/fato_PIB!J17</f>
        <v>56022.9814609674</v>
      </c>
      <c r="C20" s="36" t="n">
        <f aca="false">B20-fato_PIB!X17</f>
        <v>-3.90326531487517E-005</v>
      </c>
      <c r="D20" s="28" t="n">
        <f aca="false">fato_PIB!B17*Deflator_IPCA!C20</f>
        <v>54282408254.8379</v>
      </c>
      <c r="E20" s="25" t="n">
        <f aca="false">D20-fato_PIB!N17</f>
        <v>0</v>
      </c>
      <c r="F20" s="28" t="n">
        <f aca="false">IF(fato_PIB!C17="","sem setor",fato_PIB!D17+fato_PIB!E17+fato_PIB!F17+fato_PIB!G17-fato_PIB!C17)</f>
        <v>1000</v>
      </c>
      <c r="G20" s="28" t="n">
        <f aca="false">IF(fato_PIB!C17="","sem setor",fato_PIB!C17+fato_PIB!H17-fato_PIB!B17)</f>
        <v>0</v>
      </c>
    </row>
    <row r="21" customFormat="false" ht="15" hidden="false" customHeight="false" outlineLevel="0" collapsed="false">
      <c r="A21" s="5" t="n">
        <f aca="false">fato_PIB!A18</f>
        <v>2018</v>
      </c>
      <c r="B21" s="25" t="n">
        <f aca="false">fato_PIB!B18/fato_PIB!J18</f>
        <v>55599.4176005648</v>
      </c>
      <c r="C21" s="36" t="n">
        <f aca="false">B21-fato_PIB!X18</f>
        <v>5.64752554055303E-007</v>
      </c>
      <c r="D21" s="28" t="n">
        <f aca="false">fato_PIB!B18*Deflator_IPCA!C21</f>
        <v>52716670120.5928</v>
      </c>
      <c r="E21" s="25" t="n">
        <f aca="false">D21-fato_PIB!N18</f>
        <v>0</v>
      </c>
      <c r="F21" s="28" t="n">
        <f aca="false">IF(fato_PIB!C18="","sem setor",fato_PIB!D18+fato_PIB!E18+fato_PIB!F18+fato_PIB!G18-fato_PIB!C18)</f>
        <v>0</v>
      </c>
      <c r="G21" s="28" t="n">
        <f aca="false">IF(fato_PIB!C18="","sem setor",fato_PIB!C18+fato_PIB!H18-fato_PIB!B18)</f>
        <v>-1000</v>
      </c>
    </row>
    <row r="22" customFormat="false" ht="15" hidden="false" customHeight="false" outlineLevel="0" collapsed="false">
      <c r="A22" s="5" t="n">
        <f aca="false">fato_PIB!A19</f>
        <v>2019</v>
      </c>
      <c r="B22" s="25" t="n">
        <f aca="false">fato_PIB!B19/fato_PIB!J19</f>
        <v>60340.2479970746</v>
      </c>
      <c r="C22" s="36" t="n">
        <f aca="false">B22-fato_PIB!X19</f>
        <v>-2.92543700197712E-006</v>
      </c>
      <c r="D22" s="28" t="n">
        <f aca="false">fato_PIB!B19*Deflator_IPCA!C22</f>
        <v>55462423731.3813</v>
      </c>
      <c r="E22" s="25" t="n">
        <f aca="false">D22-fato_PIB!N19</f>
        <v>0</v>
      </c>
      <c r="F22" s="28" t="n">
        <f aca="false">IF(fato_PIB!C19="","sem setor",fato_PIB!D19+fato_PIB!E19+fato_PIB!F19+fato_PIB!G19-fato_PIB!C19)</f>
        <v>0</v>
      </c>
      <c r="G22" s="28" t="n">
        <f aca="false">IF(fato_PIB!C19="","sem setor",fato_PIB!C19+fato_PIB!H19-fato_PIB!B19)</f>
        <v>0</v>
      </c>
    </row>
    <row r="23" customFormat="false" ht="15" hidden="false" customHeight="false" outlineLevel="0" collapsed="false">
      <c r="A23" s="5" t="n">
        <f aca="false">fato_PIB!A20</f>
        <v>2020</v>
      </c>
      <c r="B23" s="25" t="n">
        <f aca="false">fato_PIB!B20/fato_PIB!J20</f>
        <v>53942.3504632491</v>
      </c>
      <c r="C23" s="36" t="n">
        <f aca="false">B23-fato_PIB!X20</f>
        <v>-3.67509128409438E-005</v>
      </c>
      <c r="D23" s="28" t="n">
        <f aca="false">fato_PIB!B20*Deflator_IPCA!C23</f>
        <v>47949609488.5965</v>
      </c>
      <c r="E23" s="25" t="n">
        <f aca="false">D23-fato_PIB!N20</f>
        <v>0</v>
      </c>
      <c r="F23" s="28" t="n">
        <f aca="false">IF(fato_PIB!C20="","sem setor",fato_PIB!D20+fato_PIB!E20+fato_PIB!F20+fato_PIB!G20-fato_PIB!C20)</f>
        <v>-1000</v>
      </c>
      <c r="G23" s="28" t="n">
        <f aca="false">IF(fato_PIB!C20="","sem setor",fato_PIB!C20+fato_PIB!H20-fato_PIB!B20)</f>
        <v>0</v>
      </c>
    </row>
    <row r="24" customFormat="false" ht="15" hidden="false" customHeight="false" outlineLevel="0" collapsed="false">
      <c r="A24" s="5" t="n">
        <f aca="false">fato_PIB!A21</f>
        <v>2021</v>
      </c>
      <c r="B24" s="25" t="n">
        <f aca="false">fato_PIB!B21/fato_PIB!J21</f>
        <v>61315.8752763424</v>
      </c>
      <c r="C24" s="36" t="n">
        <f aca="false">B24-fato_PIB!X21</f>
        <v>-2.36576233874075E-005</v>
      </c>
      <c r="D24" s="28" t="n">
        <f aca="false">fato_PIB!B21*Deflator_IPCA!C24</f>
        <v>50035977570.0239</v>
      </c>
      <c r="E24" s="25" t="n">
        <f aca="false">D24-fato_PIB!N21</f>
        <v>0</v>
      </c>
      <c r="F24" s="28" t="n">
        <f aca="false">IF(fato_PIB!C21="","sem setor",fato_PIB!D21+fato_PIB!E21+fato_PIB!F21+fato_PIB!G21-fato_PIB!C21)</f>
        <v>1000</v>
      </c>
      <c r="G24" s="28" t="n">
        <f aca="false">IF(fato_PIB!C21="","sem setor",fato_PIB!C21+fato_PIB!H21-fato_PIB!B21)</f>
        <v>0</v>
      </c>
    </row>
    <row r="25" customFormat="false" ht="15" hidden="false" customHeight="false" outlineLevel="0" collapsed="false">
      <c r="A25" s="5" t="n">
        <f aca="false">fato_PIB!A22</f>
        <v>2022</v>
      </c>
      <c r="B25" s="25" t="n">
        <f aca="false">fato_PIB!B22/fato_PIB!J22</f>
        <v>81275.3775173803</v>
      </c>
      <c r="C25" s="36" t="n">
        <f aca="false">B25-fato_PIB!X22</f>
        <v>1.73802836798131E-005</v>
      </c>
      <c r="D25" s="28" t="n">
        <f aca="false">fato_PIB!B22*Deflator_IPCA!C25</f>
        <v>59270710707.4</v>
      </c>
      <c r="E25" s="25" t="n">
        <f aca="false">D25-fato_PIB!N22</f>
        <v>0</v>
      </c>
      <c r="F25" s="28" t="str">
        <f aca="false">IF(fato_PIB!C22="","sem setor",fato_PIB!D22+fato_PIB!E22+fato_PIB!F22+fato_PIB!G22-fato_PIB!C22)</f>
        <v>sem setor</v>
      </c>
      <c r="G25" s="28" t="str">
        <f aca="false">IF(fato_PIB!C22="","sem setor",fato_PIB!C22+fato_PIB!H22-fato_PIB!B22)</f>
        <v>sem setor</v>
      </c>
    </row>
    <row r="26" customFormat="false" ht="15" hidden="false" customHeight="false" outlineLevel="0" collapsed="false">
      <c r="A26" s="5" t="n">
        <f aca="false">fato_PIB!A23</f>
        <v>2023</v>
      </c>
      <c r="B26" s="25" t="n">
        <f aca="false">fato_PIB!B23/fato_PIB!J23</f>
        <v>86361.0805944536</v>
      </c>
      <c r="C26" s="36" t="n">
        <f aca="false">B26-fato_PIB!X23</f>
        <v>-5.5464479373768E-006</v>
      </c>
      <c r="D26" s="28" t="n">
        <f aca="false">fato_PIB!B23*Deflator_IPCA!C26</f>
        <v>61394524000</v>
      </c>
      <c r="E26" s="25" t="n">
        <f aca="false">D26-fato_PIB!N23</f>
        <v>0</v>
      </c>
      <c r="F26" s="28" t="str">
        <f aca="false">IF(fato_PIB!C23="","sem setor",fato_PIB!D23+fato_PIB!E23+fato_PIB!F23+fato_PIB!G23-fato_PIB!C23)</f>
        <v>sem setor</v>
      </c>
      <c r="G26" s="28" t="str">
        <f aca="false">IF(fato_PIB!C23="","sem setor",fato_PIB!C23+fato_PIB!H23-fato_PIB!B23)</f>
        <v>sem setor</v>
      </c>
    </row>
    <row r="27" customFormat="false" ht="15" hidden="false" customHeight="false" outlineLevel="0" collapsed="false">
      <c r="A27" s="11" t="s">
        <v>196</v>
      </c>
      <c r="C27" s="38" t="n">
        <f aca="false">MAX(MAX(C5:C26),-MIN(C5:C26))</f>
        <v>4.97196451760829E-005</v>
      </c>
      <c r="E27" s="32" t="n">
        <f aca="false">MAX(MAX(E5:E26),-MIN(E5:E26))</f>
        <v>-0</v>
      </c>
      <c r="F27" s="32" t="n">
        <f aca="false">MAX(MAX(F5:F26),-MIN(F5:F26))</f>
        <v>2000</v>
      </c>
      <c r="G27" s="32" t="n">
        <f aca="false">MAX(MAX(G5:G26),-MIN(G5:G26))</f>
        <v>1000</v>
      </c>
    </row>
    <row r="29" customFormat="false" ht="15" hidden="false" customHeight="false" outlineLevel="0" collapsed="false">
      <c r="A29" s="2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0"/>
    <col collapsed="false" customWidth="true" hidden="false" outlineLevel="0" max="3" min="3" style="0" width="24"/>
    <col collapsed="false" customWidth="true" hidden="false" outlineLevel="0" max="4" min="4" style="0" width="55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198</v>
      </c>
    </row>
    <row r="2" customFormat="false" ht="15" hidden="false" customHeight="false" outlineLevel="0" collapsed="false">
      <c r="A2" s="2" t="s">
        <v>199</v>
      </c>
    </row>
    <row r="4" customFormat="false" ht="15" hidden="false" customHeight="false" outlineLevel="0" collapsed="false">
      <c r="A4" s="10" t="s">
        <v>53</v>
      </c>
      <c r="B4" s="10" t="s">
        <v>200</v>
      </c>
      <c r="C4" s="10" t="s">
        <v>201</v>
      </c>
      <c r="D4" s="10" t="s">
        <v>202</v>
      </c>
      <c r="E4" s="10" t="s">
        <v>203</v>
      </c>
    </row>
    <row r="5" customFormat="false" ht="45" hidden="false" customHeight="true" outlineLevel="0" collapsed="false">
      <c r="A5" s="12" t="n">
        <v>1</v>
      </c>
      <c r="B5" s="15" t="s">
        <v>204</v>
      </c>
      <c r="C5" s="15" t="s">
        <v>205</v>
      </c>
      <c r="D5" s="15" t="s">
        <v>206</v>
      </c>
      <c r="E5" s="15" t="s">
        <v>207</v>
      </c>
    </row>
    <row r="6" customFormat="false" ht="45" hidden="false" customHeight="true" outlineLevel="0" collapsed="false">
      <c r="A6" s="12" t="n">
        <v>2</v>
      </c>
      <c r="B6" s="15" t="s">
        <v>208</v>
      </c>
      <c r="C6" s="15" t="s">
        <v>209</v>
      </c>
      <c r="D6" s="15" t="s">
        <v>210</v>
      </c>
      <c r="E6" s="15" t="s">
        <v>211</v>
      </c>
    </row>
    <row r="7" customFormat="false" ht="45" hidden="false" customHeight="true" outlineLevel="0" collapsed="false">
      <c r="A7" s="12" t="n">
        <v>3</v>
      </c>
      <c r="B7" s="15" t="s">
        <v>212</v>
      </c>
      <c r="C7" s="15" t="s">
        <v>213</v>
      </c>
      <c r="D7" s="15" t="s">
        <v>214</v>
      </c>
      <c r="E7" s="15" t="s">
        <v>215</v>
      </c>
    </row>
    <row r="8" customFormat="false" ht="45" hidden="false" customHeight="true" outlineLevel="0" collapsed="false">
      <c r="A8" s="12" t="n">
        <v>4</v>
      </c>
      <c r="B8" s="15" t="s">
        <v>216</v>
      </c>
      <c r="C8" s="15" t="s">
        <v>217</v>
      </c>
      <c r="D8" s="15" t="s">
        <v>218</v>
      </c>
      <c r="E8" s="15" t="s">
        <v>219</v>
      </c>
    </row>
    <row r="9" customFormat="false" ht="45" hidden="false" customHeight="true" outlineLevel="0" collapsed="false">
      <c r="A9" s="12" t="n">
        <v>5</v>
      </c>
      <c r="B9" s="15" t="s">
        <v>220</v>
      </c>
      <c r="C9" s="15" t="s">
        <v>221</v>
      </c>
      <c r="D9" s="15" t="s">
        <v>222</v>
      </c>
      <c r="E9" s="15" t="s">
        <v>215</v>
      </c>
    </row>
    <row r="10" customFormat="false" ht="45" hidden="false" customHeight="true" outlineLevel="0" collapsed="false">
      <c r="A10" s="12" t="n">
        <v>6</v>
      </c>
      <c r="B10" s="15" t="s">
        <v>223</v>
      </c>
      <c r="C10" s="15" t="s">
        <v>224</v>
      </c>
      <c r="D10" s="15" t="s">
        <v>225</v>
      </c>
      <c r="E10" s="15" t="s">
        <v>215</v>
      </c>
    </row>
    <row r="11" customFormat="false" ht="45" hidden="false" customHeight="true" outlineLevel="0" collapsed="false">
      <c r="A11" s="12" t="n">
        <v>7</v>
      </c>
      <c r="B11" s="15" t="s">
        <v>226</v>
      </c>
      <c r="C11" s="15" t="s">
        <v>227</v>
      </c>
      <c r="D11" s="15" t="s">
        <v>228</v>
      </c>
      <c r="E11" s="15" t="s">
        <v>215</v>
      </c>
    </row>
    <row r="12" customFormat="false" ht="45" hidden="false" customHeight="true" outlineLevel="0" collapsed="false">
      <c r="A12" s="12" t="n">
        <v>8</v>
      </c>
      <c r="B12" s="15" t="s">
        <v>229</v>
      </c>
      <c r="C12" s="15" t="s">
        <v>230</v>
      </c>
      <c r="D12" s="15" t="s">
        <v>231</v>
      </c>
      <c r="E12" s="15" t="s">
        <v>232</v>
      </c>
    </row>
    <row r="13" customFormat="false" ht="45" hidden="false" customHeight="true" outlineLevel="0" collapsed="false">
      <c r="A13" s="12" t="n">
        <v>9</v>
      </c>
      <c r="B13" s="15" t="s">
        <v>233</v>
      </c>
      <c r="C13" s="15" t="s">
        <v>26</v>
      </c>
      <c r="D13" s="15" t="s">
        <v>234</v>
      </c>
      <c r="E13" s="15" t="s">
        <v>235</v>
      </c>
    </row>
    <row r="14" customFormat="false" ht="45" hidden="false" customHeight="true" outlineLevel="0" collapsed="false">
      <c r="A14" s="12" t="n">
        <v>10</v>
      </c>
      <c r="B14" s="15" t="s">
        <v>236</v>
      </c>
      <c r="C14" s="15" t="s">
        <v>237</v>
      </c>
      <c r="D14" s="15" t="s">
        <v>238</v>
      </c>
      <c r="E14" s="15" t="s">
        <v>215</v>
      </c>
    </row>
    <row r="15" customFormat="false" ht="45" hidden="false" customHeight="true" outlineLevel="0" collapsed="false">
      <c r="A15" s="12" t="n">
        <v>11</v>
      </c>
      <c r="B15" s="15" t="s">
        <v>239</v>
      </c>
      <c r="C15" s="15" t="s">
        <v>240</v>
      </c>
      <c r="D15" s="15" t="s">
        <v>241</v>
      </c>
      <c r="E15" s="15" t="s">
        <v>235</v>
      </c>
    </row>
    <row r="16" customFormat="false" ht="45" hidden="false" customHeight="true" outlineLevel="0" collapsed="false">
      <c r="A16" s="12" t="n">
        <v>12</v>
      </c>
      <c r="B16" s="15" t="s">
        <v>242</v>
      </c>
      <c r="C16" s="15" t="s">
        <v>243</v>
      </c>
      <c r="D16" s="15" t="s">
        <v>244</v>
      </c>
      <c r="E16" s="15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  <col collapsed="false" customWidth="true" hidden="false" outlineLevel="0" max="3" min="3" style="0" width="80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246</v>
      </c>
    </row>
    <row r="2" customFormat="false" ht="15" hidden="false" customHeight="false" outlineLevel="0" collapsed="false">
      <c r="A2" s="2" t="s">
        <v>247</v>
      </c>
    </row>
    <row r="4" customFormat="false" ht="15" hidden="false" customHeight="false" outlineLevel="0" collapsed="false">
      <c r="A4" s="10" t="s">
        <v>248</v>
      </c>
      <c r="B4" s="10" t="s">
        <v>249</v>
      </c>
      <c r="C4" s="10" t="s">
        <v>250</v>
      </c>
      <c r="D4" s="10" t="s">
        <v>56</v>
      </c>
    </row>
    <row r="5" customFormat="false" ht="15" hidden="false" customHeight="false" outlineLevel="0" collapsed="false">
      <c r="A5" s="15" t="s">
        <v>251</v>
      </c>
      <c r="B5" s="13" t="s">
        <v>252</v>
      </c>
      <c r="C5" s="15" t="s">
        <v>253</v>
      </c>
      <c r="D5" s="15" t="s">
        <v>252</v>
      </c>
    </row>
    <row r="6" customFormat="false" ht="15" hidden="false" customHeight="false" outlineLevel="0" collapsed="false">
      <c r="A6" s="15" t="s">
        <v>251</v>
      </c>
      <c r="B6" s="13" t="s">
        <v>254</v>
      </c>
      <c r="C6" s="15" t="s">
        <v>255</v>
      </c>
      <c r="D6" s="15" t="s">
        <v>256</v>
      </c>
    </row>
    <row r="7" customFormat="false" ht="15" hidden="false" customHeight="false" outlineLevel="0" collapsed="false">
      <c r="A7" s="15" t="s">
        <v>251</v>
      </c>
      <c r="B7" s="13" t="s">
        <v>257</v>
      </c>
      <c r="C7" s="15" t="s">
        <v>258</v>
      </c>
      <c r="D7" s="15" t="s">
        <v>256</v>
      </c>
    </row>
    <row r="8" customFormat="false" ht="15" hidden="false" customHeight="false" outlineLevel="0" collapsed="false">
      <c r="A8" s="15" t="s">
        <v>251</v>
      </c>
      <c r="B8" s="13" t="s">
        <v>259</v>
      </c>
      <c r="C8" s="15" t="s">
        <v>260</v>
      </c>
      <c r="D8" s="15" t="s">
        <v>256</v>
      </c>
    </row>
    <row r="9" customFormat="false" ht="15" hidden="false" customHeight="false" outlineLevel="0" collapsed="false">
      <c r="A9" s="15" t="s">
        <v>251</v>
      </c>
      <c r="B9" s="13" t="s">
        <v>261</v>
      </c>
      <c r="C9" s="15" t="s">
        <v>262</v>
      </c>
      <c r="D9" s="15" t="s">
        <v>256</v>
      </c>
    </row>
    <row r="10" customFormat="false" ht="15" hidden="false" customHeight="false" outlineLevel="0" collapsed="false">
      <c r="A10" s="15" t="s">
        <v>251</v>
      </c>
      <c r="B10" s="13" t="s">
        <v>263</v>
      </c>
      <c r="C10" s="15" t="s">
        <v>264</v>
      </c>
      <c r="D10" s="15" t="s">
        <v>256</v>
      </c>
    </row>
    <row r="11" customFormat="false" ht="15" hidden="false" customHeight="false" outlineLevel="0" collapsed="false">
      <c r="A11" s="15" t="s">
        <v>251</v>
      </c>
      <c r="B11" s="13" t="s">
        <v>265</v>
      </c>
      <c r="C11" s="15" t="s">
        <v>266</v>
      </c>
      <c r="D11" s="15" t="s">
        <v>256</v>
      </c>
    </row>
    <row r="12" customFormat="false" ht="15" hidden="false" customHeight="false" outlineLevel="0" collapsed="false">
      <c r="A12" s="15" t="s">
        <v>251</v>
      </c>
      <c r="B12" s="13" t="s">
        <v>267</v>
      </c>
      <c r="C12" s="15" t="s">
        <v>268</v>
      </c>
      <c r="D12" s="15" t="s">
        <v>269</v>
      </c>
    </row>
    <row r="13" customFormat="false" ht="15" hidden="false" customHeight="false" outlineLevel="0" collapsed="false">
      <c r="A13" s="15" t="s">
        <v>251</v>
      </c>
      <c r="B13" s="13" t="s">
        <v>270</v>
      </c>
      <c r="C13" s="15" t="s">
        <v>271</v>
      </c>
      <c r="D13" s="15" t="s">
        <v>272</v>
      </c>
    </row>
    <row r="14" customFormat="false" ht="15" hidden="false" customHeight="false" outlineLevel="0" collapsed="false">
      <c r="A14" s="15" t="s">
        <v>251</v>
      </c>
      <c r="B14" s="13" t="s">
        <v>273</v>
      </c>
      <c r="C14" s="15" t="s">
        <v>274</v>
      </c>
      <c r="D14" s="15" t="s">
        <v>269</v>
      </c>
    </row>
    <row r="15" customFormat="false" ht="15" hidden="false" customHeight="false" outlineLevel="0" collapsed="false">
      <c r="A15" s="15" t="s">
        <v>251</v>
      </c>
      <c r="B15" s="13" t="s">
        <v>275</v>
      </c>
      <c r="C15" s="15" t="s">
        <v>276</v>
      </c>
      <c r="D15" s="15" t="s">
        <v>277</v>
      </c>
    </row>
    <row r="16" customFormat="false" ht="15" hidden="false" customHeight="false" outlineLevel="0" collapsed="false">
      <c r="A16" s="15" t="s">
        <v>251</v>
      </c>
      <c r="B16" s="13" t="s">
        <v>278</v>
      </c>
      <c r="C16" s="15" t="s">
        <v>279</v>
      </c>
      <c r="D16" s="15" t="s">
        <v>280</v>
      </c>
    </row>
    <row r="17" customFormat="false" ht="15" hidden="false" customHeight="false" outlineLevel="0" collapsed="false">
      <c r="A17" s="15" t="s">
        <v>251</v>
      </c>
      <c r="B17" s="13" t="s">
        <v>281</v>
      </c>
      <c r="C17" s="15" t="s">
        <v>282</v>
      </c>
      <c r="D17" s="15" t="s">
        <v>283</v>
      </c>
    </row>
    <row r="18" customFormat="false" ht="15" hidden="false" customHeight="false" outlineLevel="0" collapsed="false">
      <c r="A18" s="15" t="s">
        <v>251</v>
      </c>
      <c r="B18" s="13" t="s">
        <v>284</v>
      </c>
      <c r="C18" s="15" t="s">
        <v>285</v>
      </c>
      <c r="D18" s="15" t="s">
        <v>283</v>
      </c>
    </row>
    <row r="19" customFormat="false" ht="15" hidden="false" customHeight="false" outlineLevel="0" collapsed="false">
      <c r="A19" s="15" t="s">
        <v>251</v>
      </c>
      <c r="B19" s="13" t="s">
        <v>286</v>
      </c>
      <c r="C19" s="15" t="s">
        <v>287</v>
      </c>
      <c r="D19" s="15" t="s">
        <v>288</v>
      </c>
    </row>
    <row r="20" customFormat="false" ht="15" hidden="false" customHeight="false" outlineLevel="0" collapsed="false">
      <c r="A20" s="15" t="s">
        <v>251</v>
      </c>
      <c r="B20" s="13" t="s">
        <v>289</v>
      </c>
      <c r="C20" s="15" t="s">
        <v>290</v>
      </c>
      <c r="D20" s="15" t="s">
        <v>68</v>
      </c>
    </row>
    <row r="21" customFormat="false" ht="15" hidden="false" customHeight="false" outlineLevel="0" collapsed="false">
      <c r="A21" s="15" t="s">
        <v>251</v>
      </c>
      <c r="B21" s="13" t="s">
        <v>291</v>
      </c>
      <c r="C21" s="15" t="s">
        <v>292</v>
      </c>
      <c r="D21" s="15" t="s">
        <v>283</v>
      </c>
    </row>
    <row r="22" customFormat="false" ht="15" hidden="false" customHeight="false" outlineLevel="0" collapsed="false">
      <c r="A22" s="15" t="s">
        <v>251</v>
      </c>
      <c r="B22" s="13" t="s">
        <v>293</v>
      </c>
      <c r="C22" s="15" t="s">
        <v>294</v>
      </c>
      <c r="D22" s="15" t="s">
        <v>283</v>
      </c>
    </row>
    <row r="23" customFormat="false" ht="15" hidden="false" customHeight="false" outlineLevel="0" collapsed="false">
      <c r="A23" s="15" t="s">
        <v>251</v>
      </c>
      <c r="B23" s="13" t="s">
        <v>295</v>
      </c>
      <c r="C23" s="15" t="s">
        <v>296</v>
      </c>
      <c r="D23" s="15" t="s">
        <v>283</v>
      </c>
    </row>
    <row r="24" customFormat="false" ht="15" hidden="false" customHeight="false" outlineLevel="0" collapsed="false">
      <c r="A24" s="15" t="s">
        <v>297</v>
      </c>
      <c r="B24" s="13" t="s">
        <v>298</v>
      </c>
      <c r="C24" s="15" t="s">
        <v>299</v>
      </c>
      <c r="D24" s="15" t="s">
        <v>269</v>
      </c>
    </row>
    <row r="25" customFormat="false" ht="15" hidden="false" customHeight="false" outlineLevel="0" collapsed="false">
      <c r="A25" s="15" t="s">
        <v>297</v>
      </c>
      <c r="B25" s="13" t="s">
        <v>300</v>
      </c>
      <c r="C25" s="15" t="s">
        <v>301</v>
      </c>
      <c r="D25" s="15" t="s">
        <v>256</v>
      </c>
    </row>
    <row r="26" customFormat="false" ht="23.85" hidden="false" customHeight="false" outlineLevel="0" collapsed="false">
      <c r="A26" s="15" t="s">
        <v>297</v>
      </c>
      <c r="B26" s="13" t="s">
        <v>302</v>
      </c>
      <c r="C26" s="15" t="s">
        <v>303</v>
      </c>
      <c r="D26" s="15" t="s">
        <v>283</v>
      </c>
    </row>
    <row r="27" customFormat="false" ht="15" hidden="false" customHeight="false" outlineLevel="0" collapsed="false">
      <c r="A27" s="15" t="s">
        <v>304</v>
      </c>
      <c r="B27" s="13" t="s">
        <v>305</v>
      </c>
      <c r="C27" s="15" t="s">
        <v>306</v>
      </c>
      <c r="D27" s="15" t="s">
        <v>283</v>
      </c>
    </row>
    <row r="28" customFormat="false" ht="15" hidden="false" customHeight="false" outlineLevel="0" collapsed="false">
      <c r="A28" s="15" t="s">
        <v>307</v>
      </c>
      <c r="B28" s="13" t="s">
        <v>308</v>
      </c>
      <c r="C28" s="15" t="s">
        <v>309</v>
      </c>
      <c r="D28" s="15" t="s">
        <v>272</v>
      </c>
    </row>
    <row r="29" customFormat="false" ht="15" hidden="false" customHeight="false" outlineLevel="0" collapsed="false">
      <c r="A29" s="15" t="s">
        <v>310</v>
      </c>
      <c r="B29" s="13" t="s">
        <v>311</v>
      </c>
      <c r="C29" s="15" t="s">
        <v>312</v>
      </c>
      <c r="D29" s="15" t="s">
        <v>283</v>
      </c>
    </row>
    <row r="30" customFormat="false" ht="15" hidden="false" customHeight="false" outlineLevel="0" collapsed="false">
      <c r="A30" s="15" t="s">
        <v>313</v>
      </c>
      <c r="B30" s="13" t="s">
        <v>314</v>
      </c>
      <c r="C30" s="15" t="s">
        <v>315</v>
      </c>
      <c r="D30" s="15" t="s">
        <v>170</v>
      </c>
    </row>
    <row r="31" customFormat="false" ht="15" hidden="false" customHeight="false" outlineLevel="0" collapsed="false">
      <c r="A31" s="15" t="s">
        <v>316</v>
      </c>
      <c r="B31" s="13" t="s">
        <v>317</v>
      </c>
      <c r="C31" s="15" t="s">
        <v>318</v>
      </c>
      <c r="D31" s="15" t="s">
        <v>319</v>
      </c>
    </row>
    <row r="32" customFormat="false" ht="15" hidden="false" customHeight="false" outlineLevel="0" collapsed="false">
      <c r="A32" s="15" t="s">
        <v>320</v>
      </c>
      <c r="B32" s="13" t="s">
        <v>321</v>
      </c>
      <c r="C32" s="15" t="s">
        <v>322</v>
      </c>
      <c r="D32" s="15" t="s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323</v>
      </c>
    </row>
    <row r="3" customFormat="false" ht="15" hidden="false" customHeight="false" outlineLevel="0" collapsed="false">
      <c r="A3" s="10" t="s">
        <v>324</v>
      </c>
      <c r="B3" s="10" t="s">
        <v>325</v>
      </c>
      <c r="C3" s="10" t="s">
        <v>326</v>
      </c>
    </row>
    <row r="4" customFormat="false" ht="30" hidden="false" customHeight="true" outlineLevel="0" collapsed="false">
      <c r="A4" s="13" t="s">
        <v>327</v>
      </c>
      <c r="B4" s="15" t="s">
        <v>328</v>
      </c>
      <c r="C4" s="15" t="s">
        <v>329</v>
      </c>
    </row>
    <row r="5" customFormat="false" ht="30" hidden="false" customHeight="true" outlineLevel="0" collapsed="false">
      <c r="A5" s="13" t="s">
        <v>330</v>
      </c>
      <c r="B5" s="15" t="s">
        <v>331</v>
      </c>
      <c r="C5" s="15" t="s">
        <v>332</v>
      </c>
    </row>
    <row r="6" customFormat="false" ht="30" hidden="false" customHeight="true" outlineLevel="0" collapsed="false">
      <c r="A6" s="13" t="s">
        <v>333</v>
      </c>
      <c r="B6" s="15" t="s">
        <v>334</v>
      </c>
      <c r="C6" s="15" t="s">
        <v>335</v>
      </c>
    </row>
    <row r="7" customFormat="false" ht="30" hidden="false" customHeight="true" outlineLevel="0" collapsed="false">
      <c r="A7" s="13" t="s">
        <v>336</v>
      </c>
      <c r="B7" s="15" t="s">
        <v>337</v>
      </c>
      <c r="C7" s="15" t="s">
        <v>338</v>
      </c>
    </row>
    <row r="8" customFormat="false" ht="30" hidden="false" customHeight="true" outlineLevel="0" collapsed="false">
      <c r="A8" s="13" t="s">
        <v>339</v>
      </c>
      <c r="B8" s="15" t="s">
        <v>340</v>
      </c>
      <c r="C8" s="15" t="s">
        <v>341</v>
      </c>
    </row>
    <row r="9" customFormat="false" ht="30" hidden="false" customHeight="true" outlineLevel="0" collapsed="false">
      <c r="A9" s="13" t="s">
        <v>124</v>
      </c>
      <c r="B9" s="15" t="s">
        <v>342</v>
      </c>
      <c r="C9" s="15" t="s">
        <v>343</v>
      </c>
    </row>
    <row r="10" customFormat="false" ht="30" hidden="false" customHeight="true" outlineLevel="0" collapsed="false">
      <c r="A10" s="13" t="s">
        <v>344</v>
      </c>
      <c r="B10" s="15" t="s">
        <v>345</v>
      </c>
      <c r="C10" s="15" t="s">
        <v>346</v>
      </c>
    </row>
    <row r="11" customFormat="false" ht="30" hidden="false" customHeight="true" outlineLevel="0" collapsed="false">
      <c r="A11" s="13" t="s">
        <v>347</v>
      </c>
      <c r="B11" s="15" t="s">
        <v>348</v>
      </c>
      <c r="C11" s="15" t="s">
        <v>349</v>
      </c>
    </row>
    <row r="12" customFormat="false" ht="30" hidden="false" customHeight="true" outlineLevel="0" collapsed="false">
      <c r="A12" s="13" t="s">
        <v>350</v>
      </c>
      <c r="B12" s="15" t="s">
        <v>351</v>
      </c>
      <c r="C12" s="15" t="s">
        <v>352</v>
      </c>
    </row>
    <row r="13" customFormat="false" ht="30" hidden="false" customHeight="true" outlineLevel="0" collapsed="false">
      <c r="A13" s="13" t="s">
        <v>353</v>
      </c>
      <c r="B13" s="15" t="s">
        <v>354</v>
      </c>
      <c r="C13" s="15" t="s">
        <v>355</v>
      </c>
    </row>
    <row r="14" customFormat="false" ht="30" hidden="false" customHeight="true" outlineLevel="0" collapsed="false">
      <c r="A14" s="13" t="s">
        <v>356</v>
      </c>
      <c r="B14" s="15" t="s">
        <v>357</v>
      </c>
      <c r="C14" s="15" t="s">
        <v>358</v>
      </c>
    </row>
    <row r="15" customFormat="false" ht="30" hidden="false" customHeight="true" outlineLevel="0" collapsed="false">
      <c r="A15" s="13" t="s">
        <v>359</v>
      </c>
      <c r="B15" s="15" t="s">
        <v>360</v>
      </c>
      <c r="C15" s="15" t="s">
        <v>361</v>
      </c>
    </row>
    <row r="16" customFormat="false" ht="30" hidden="false" customHeight="true" outlineLevel="0" collapsed="false">
      <c r="A16" s="13" t="s">
        <v>362</v>
      </c>
      <c r="B16" s="15" t="s">
        <v>363</v>
      </c>
      <c r="C16" s="15" t="s">
        <v>364</v>
      </c>
    </row>
    <row r="17" customFormat="false" ht="30" hidden="false" customHeight="true" outlineLevel="0" collapsed="false">
      <c r="A17" s="13" t="s">
        <v>365</v>
      </c>
      <c r="B17" s="15" t="s">
        <v>366</v>
      </c>
      <c r="C17" s="15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368</v>
      </c>
    </row>
    <row r="3" customFormat="false" ht="15" hidden="false" customHeight="false" outlineLevel="0" collapsed="false">
      <c r="A3" s="10" t="s">
        <v>369</v>
      </c>
      <c r="B3" s="10" t="s">
        <v>370</v>
      </c>
      <c r="C3" s="10" t="s">
        <v>371</v>
      </c>
    </row>
    <row r="4" customFormat="false" ht="39.75" hidden="false" customHeight="true" outlineLevel="0" collapsed="false">
      <c r="A4" s="39" t="s">
        <v>227</v>
      </c>
      <c r="B4" s="15" t="s">
        <v>372</v>
      </c>
      <c r="C4" s="15" t="s">
        <v>373</v>
      </c>
    </row>
    <row r="5" customFormat="false" ht="39.75" hidden="false" customHeight="true" outlineLevel="0" collapsed="false">
      <c r="A5" s="39" t="s">
        <v>227</v>
      </c>
      <c r="B5" s="15" t="s">
        <v>374</v>
      </c>
      <c r="C5" s="15" t="s">
        <v>375</v>
      </c>
    </row>
    <row r="6" customFormat="false" ht="39.75" hidden="false" customHeight="true" outlineLevel="0" collapsed="false">
      <c r="A6" s="39" t="s">
        <v>227</v>
      </c>
      <c r="B6" s="15" t="s">
        <v>376</v>
      </c>
      <c r="C6" s="15" t="s">
        <v>377</v>
      </c>
    </row>
    <row r="7" customFormat="false" ht="39.75" hidden="false" customHeight="true" outlineLevel="0" collapsed="false">
      <c r="A7" s="39" t="s">
        <v>227</v>
      </c>
      <c r="B7" s="15" t="s">
        <v>378</v>
      </c>
      <c r="C7" s="15" t="s">
        <v>379</v>
      </c>
    </row>
    <row r="8" customFormat="false" ht="39.75" hidden="false" customHeight="true" outlineLevel="0" collapsed="false">
      <c r="A8" s="39" t="s">
        <v>380</v>
      </c>
      <c r="B8" s="15" t="s">
        <v>381</v>
      </c>
      <c r="C8" s="15" t="s">
        <v>382</v>
      </c>
    </row>
    <row r="9" customFormat="false" ht="39.75" hidden="false" customHeight="true" outlineLevel="0" collapsed="false">
      <c r="A9" s="39" t="s">
        <v>380</v>
      </c>
      <c r="B9" s="15" t="s">
        <v>74</v>
      </c>
      <c r="C9" s="15" t="s">
        <v>383</v>
      </c>
    </row>
    <row r="10" customFormat="false" ht="39.75" hidden="false" customHeight="true" outlineLevel="0" collapsed="false">
      <c r="A10" s="39" t="s">
        <v>380</v>
      </c>
      <c r="B10" s="15" t="s">
        <v>82</v>
      </c>
      <c r="C10" s="15" t="s">
        <v>384</v>
      </c>
    </row>
    <row r="11" customFormat="false" ht="39.75" hidden="false" customHeight="true" outlineLevel="0" collapsed="false">
      <c r="A11" s="39" t="s">
        <v>385</v>
      </c>
      <c r="B11" s="15" t="s">
        <v>101</v>
      </c>
      <c r="C11" s="15" t="s">
        <v>386</v>
      </c>
    </row>
    <row r="12" customFormat="false" ht="39.75" hidden="false" customHeight="true" outlineLevel="0" collapsed="false">
      <c r="A12" s="39" t="s">
        <v>387</v>
      </c>
      <c r="B12" s="15" t="s">
        <v>388</v>
      </c>
      <c r="C12" s="15" t="s">
        <v>389</v>
      </c>
    </row>
    <row r="13" customFormat="false" ht="39.75" hidden="false" customHeight="true" outlineLevel="0" collapsed="false">
      <c r="A13" s="39" t="s">
        <v>390</v>
      </c>
      <c r="B13" s="15" t="s">
        <v>391</v>
      </c>
      <c r="C13" s="15" t="s">
        <v>392</v>
      </c>
    </row>
    <row r="14" customFormat="false" ht="39.75" hidden="false" customHeight="true" outlineLevel="0" collapsed="false">
      <c r="A14" s="39" t="s">
        <v>393</v>
      </c>
      <c r="B14" s="15" t="s">
        <v>394</v>
      </c>
      <c r="C14" s="15" t="s">
        <v>395</v>
      </c>
    </row>
    <row r="15" customFormat="false" ht="39.75" hidden="false" customHeight="true" outlineLevel="0" collapsed="false">
      <c r="A15" s="39" t="s">
        <v>393</v>
      </c>
      <c r="B15" s="15" t="s">
        <v>396</v>
      </c>
      <c r="C15" s="15" t="s">
        <v>397</v>
      </c>
    </row>
    <row r="16" customFormat="false" ht="39.75" hidden="false" customHeight="true" outlineLevel="0" collapsed="false">
      <c r="A16" s="39" t="s">
        <v>393</v>
      </c>
      <c r="B16" s="15" t="s">
        <v>398</v>
      </c>
      <c r="C16" s="15" t="s">
        <v>399</v>
      </c>
    </row>
    <row r="17" customFormat="false" ht="39.75" hidden="false" customHeight="true" outlineLevel="0" collapsed="false">
      <c r="A17" s="39" t="s">
        <v>393</v>
      </c>
      <c r="B17" s="15" t="s">
        <v>400</v>
      </c>
      <c r="C17" s="15" t="s">
        <v>401</v>
      </c>
    </row>
    <row r="18" customFormat="false" ht="39.75" hidden="false" customHeight="true" outlineLevel="0" collapsed="false">
      <c r="A18" s="39" t="s">
        <v>393</v>
      </c>
      <c r="B18" s="15" t="s">
        <v>402</v>
      </c>
      <c r="C18" s="15" t="s">
        <v>403</v>
      </c>
    </row>
    <row r="19" customFormat="false" ht="39.75" hidden="false" customHeight="true" outlineLevel="0" collapsed="false">
      <c r="A19" s="39" t="s">
        <v>404</v>
      </c>
      <c r="B19" s="15" t="s">
        <v>405</v>
      </c>
      <c r="C19" s="15" t="s"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4" min="4" style="0" width="6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407</v>
      </c>
    </row>
    <row r="2" customFormat="false" ht="15" hidden="false" customHeight="false" outlineLevel="0" collapsed="false">
      <c r="A2" s="2" t="s">
        <v>408</v>
      </c>
    </row>
    <row r="4" customFormat="false" ht="23.85" hidden="false" customHeight="false" outlineLevel="0" collapsed="false">
      <c r="A4" s="10" t="s">
        <v>409</v>
      </c>
      <c r="B4" s="10" t="s">
        <v>410</v>
      </c>
      <c r="C4" s="10" t="s">
        <v>411</v>
      </c>
      <c r="D4" s="10" t="s">
        <v>412</v>
      </c>
      <c r="E4" s="10" t="s">
        <v>158</v>
      </c>
    </row>
    <row r="5" customFormat="false" ht="15" hidden="false" customHeight="false" outlineLevel="0" collapsed="false">
      <c r="A5" s="11" t="s">
        <v>413</v>
      </c>
      <c r="B5" s="4" t="s">
        <v>134</v>
      </c>
      <c r="C5" s="4" t="s">
        <v>134</v>
      </c>
      <c r="D5" s="4"/>
      <c r="E5" s="28" t="n">
        <v>624</v>
      </c>
    </row>
    <row r="6" customFormat="false" ht="15" hidden="false" customHeight="false" outlineLevel="0" collapsed="false">
      <c r="A6" s="11" t="s">
        <v>414</v>
      </c>
      <c r="B6" s="4" t="s">
        <v>415</v>
      </c>
      <c r="C6" s="4" t="s">
        <v>135</v>
      </c>
      <c r="D6" s="4"/>
      <c r="E6" s="28" t="n">
        <v>36</v>
      </c>
    </row>
    <row r="7" customFormat="false" ht="15" hidden="false" customHeight="false" outlineLevel="0" collapsed="false">
      <c r="A7" s="11" t="s">
        <v>416</v>
      </c>
      <c r="B7" s="4" t="s">
        <v>417</v>
      </c>
      <c r="C7" s="4" t="s">
        <v>135</v>
      </c>
      <c r="D7" s="4"/>
      <c r="E7" s="28" t="n">
        <v>36989</v>
      </c>
    </row>
    <row r="8" customFormat="false" ht="15" hidden="false" customHeight="false" outlineLevel="0" collapsed="false">
      <c r="A8" s="11" t="s">
        <v>418</v>
      </c>
      <c r="B8" s="4" t="s">
        <v>419</v>
      </c>
      <c r="C8" s="4" t="s">
        <v>135</v>
      </c>
      <c r="D8" s="4" t="s">
        <v>420</v>
      </c>
      <c r="E8" s="28" t="n">
        <v>604</v>
      </c>
    </row>
    <row r="9" customFormat="false" ht="15" hidden="false" customHeight="false" outlineLevel="0" collapsed="false">
      <c r="A9" s="11" t="s">
        <v>421</v>
      </c>
      <c r="B9" s="4" t="s">
        <v>422</v>
      </c>
      <c r="C9" s="4" t="s">
        <v>135</v>
      </c>
      <c r="D9" s="4" t="s">
        <v>420</v>
      </c>
      <c r="E9" s="28" t="n">
        <v>1758</v>
      </c>
    </row>
    <row r="10" customFormat="false" ht="15" hidden="false" customHeight="false" outlineLevel="0" collapsed="false">
      <c r="A10" s="11" t="s">
        <v>423</v>
      </c>
      <c r="B10" s="4" t="s">
        <v>424</v>
      </c>
      <c r="C10" s="4" t="s">
        <v>135</v>
      </c>
      <c r="D10" s="4" t="s">
        <v>425</v>
      </c>
      <c r="E10" s="28" t="n">
        <v>11870</v>
      </c>
    </row>
    <row r="11" customFormat="false" ht="15" hidden="false" customHeight="false" outlineLevel="0" collapsed="false">
      <c r="A11" s="11" t="s">
        <v>426</v>
      </c>
      <c r="B11" s="4" t="s">
        <v>427</v>
      </c>
      <c r="C11" s="4" t="s">
        <v>99</v>
      </c>
      <c r="D11" s="4"/>
      <c r="E11" s="28" t="n">
        <v>46228</v>
      </c>
    </row>
    <row r="12" customFormat="false" ht="15" hidden="false" customHeight="false" outlineLevel="0" collapsed="false">
      <c r="A12" s="11" t="s">
        <v>428</v>
      </c>
      <c r="B12" s="4" t="s">
        <v>429</v>
      </c>
      <c r="C12" s="4" t="s">
        <v>99</v>
      </c>
      <c r="D12" s="4"/>
      <c r="E12" s="28" t="n">
        <v>9137</v>
      </c>
    </row>
    <row r="13" customFormat="false" ht="15" hidden="false" customHeight="false" outlineLevel="0" collapsed="false">
      <c r="A13" s="11" t="s">
        <v>430</v>
      </c>
      <c r="B13" s="4" t="s">
        <v>431</v>
      </c>
      <c r="C13" s="4" t="s">
        <v>99</v>
      </c>
      <c r="D13" s="4"/>
      <c r="E13" s="28" t="n">
        <v>10950</v>
      </c>
    </row>
    <row r="14" customFormat="false" ht="15" hidden="false" customHeight="false" outlineLevel="0" collapsed="false">
      <c r="A14" s="11" t="s">
        <v>432</v>
      </c>
      <c r="B14" s="4" t="s">
        <v>433</v>
      </c>
      <c r="C14" s="4" t="s">
        <v>99</v>
      </c>
      <c r="D14" s="4"/>
      <c r="E14" s="28" t="n">
        <v>5697</v>
      </c>
    </row>
    <row r="15" customFormat="false" ht="15" hidden="false" customHeight="false" outlineLevel="0" collapsed="false">
      <c r="A15" s="11" t="s">
        <v>434</v>
      </c>
      <c r="B15" s="4" t="s">
        <v>435</v>
      </c>
      <c r="C15" s="4" t="s">
        <v>99</v>
      </c>
      <c r="D15" s="4"/>
      <c r="E15" s="28" t="n">
        <v>4602</v>
      </c>
    </row>
    <row r="16" customFormat="false" ht="15" hidden="false" customHeight="false" outlineLevel="0" collapsed="false">
      <c r="A16" s="11" t="s">
        <v>436</v>
      </c>
      <c r="B16" s="4" t="s">
        <v>437</v>
      </c>
      <c r="C16" s="4" t="s">
        <v>99</v>
      </c>
      <c r="D16" s="4"/>
      <c r="E16" s="28" t="n">
        <v>750</v>
      </c>
    </row>
    <row r="17" customFormat="false" ht="15" hidden="false" customHeight="false" outlineLevel="0" collapsed="false">
      <c r="A17" s="11" t="s">
        <v>438</v>
      </c>
      <c r="B17" s="4" t="s">
        <v>439</v>
      </c>
      <c r="C17" s="4" t="s">
        <v>99</v>
      </c>
      <c r="D17" s="4"/>
      <c r="E17" s="28" t="n">
        <v>9234</v>
      </c>
    </row>
    <row r="18" customFormat="false" ht="15" hidden="false" customHeight="false" outlineLevel="0" collapsed="false">
      <c r="A18" s="11" t="s">
        <v>440</v>
      </c>
      <c r="B18" s="4" t="s">
        <v>441</v>
      </c>
      <c r="C18" s="4" t="s">
        <v>99</v>
      </c>
      <c r="D18" s="4"/>
      <c r="E18" s="28" t="n">
        <v>31396</v>
      </c>
    </row>
    <row r="19" customFormat="false" ht="15" hidden="false" customHeight="false" outlineLevel="0" collapsed="false">
      <c r="A19" s="11" t="s">
        <v>442</v>
      </c>
      <c r="B19" s="4" t="s">
        <v>164</v>
      </c>
      <c r="C19" s="4" t="s">
        <v>164</v>
      </c>
      <c r="D19" s="4" t="s">
        <v>443</v>
      </c>
      <c r="E19" s="28" t="n">
        <v>112</v>
      </c>
    </row>
    <row r="20" customFormat="false" ht="15" hidden="false" customHeight="false" outlineLevel="0" collapsed="false">
      <c r="A20" s="11" t="s">
        <v>444</v>
      </c>
      <c r="B20" s="4" t="s">
        <v>445</v>
      </c>
      <c r="C20" s="4" t="s">
        <v>99</v>
      </c>
      <c r="D20" s="4" t="s">
        <v>446</v>
      </c>
      <c r="E20" s="28" t="n">
        <v>11667</v>
      </c>
    </row>
    <row r="21" customFormat="false" ht="15" hidden="false" customHeight="false" outlineLevel="0" collapsed="false">
      <c r="A21" s="11" t="s">
        <v>447</v>
      </c>
      <c r="B21" s="4" t="s">
        <v>448</v>
      </c>
      <c r="C21" s="4" t="s">
        <v>99</v>
      </c>
      <c r="D21" s="4" t="s">
        <v>449</v>
      </c>
      <c r="E21" s="28" t="n">
        <v>18824</v>
      </c>
    </row>
    <row r="22" customFormat="false" ht="15" hidden="false" customHeight="false" outlineLevel="0" collapsed="false">
      <c r="A22" s="11" t="s">
        <v>450</v>
      </c>
      <c r="B22" s="4" t="s">
        <v>451</v>
      </c>
      <c r="C22" s="4" t="s">
        <v>99</v>
      </c>
      <c r="D22" s="4"/>
      <c r="E22" s="28" t="n">
        <v>1466</v>
      </c>
    </row>
    <row r="23" customFormat="false" ht="15" hidden="false" customHeight="false" outlineLevel="0" collapsed="false">
      <c r="A23" s="11" t="s">
        <v>452</v>
      </c>
      <c r="B23" s="4" t="s">
        <v>453</v>
      </c>
      <c r="C23" s="4" t="s">
        <v>99</v>
      </c>
      <c r="D23" s="4"/>
      <c r="E23" s="28" t="n">
        <v>4769</v>
      </c>
    </row>
    <row r="24" customFormat="false" ht="15" hidden="false" customHeight="false" outlineLevel="0" collapsed="false">
      <c r="A24" s="11" t="s">
        <v>454</v>
      </c>
      <c r="B24" s="4" t="s">
        <v>455</v>
      </c>
      <c r="C24" s="4" t="s">
        <v>99</v>
      </c>
      <c r="D24" s="4"/>
      <c r="E24" s="28" t="n">
        <v>4</v>
      </c>
    </row>
    <row r="25" customFormat="false" ht="15" hidden="false" customHeight="false" outlineLevel="0" collapsed="false">
      <c r="A25" s="11" t="s">
        <v>456</v>
      </c>
      <c r="B25" s="4" t="s">
        <v>457</v>
      </c>
      <c r="C25" s="4" t="s">
        <v>99</v>
      </c>
      <c r="D25" s="4"/>
      <c r="E25" s="28" t="n">
        <v>0</v>
      </c>
    </row>
    <row r="26" customFormat="false" ht="15" hidden="false" customHeight="false" outlineLevel="0" collapsed="false">
      <c r="A26" s="11" t="s">
        <v>137</v>
      </c>
      <c r="E26" s="32" t="n">
        <f aca="false">SUM(E5:E25)</f>
        <v>206717</v>
      </c>
    </row>
    <row r="28" customFormat="false" ht="15" hidden="false" customHeight="false" outlineLevel="0" collapsed="false">
      <c r="A28" s="2" t="s">
        <v>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10"/>
    <col collapsed="false" customWidth="true" hidden="false" outlineLevel="0" max="9" min="9" style="0" width="23"/>
    <col collapsed="false" customWidth="true" hidden="false" outlineLevel="0" max="10" min="10" style="0" width="11"/>
    <col collapsed="false" customWidth="true" hidden="false" outlineLevel="0" max="11" min="11" style="0" width="17"/>
    <col collapsed="false" customWidth="true" hidden="false" outlineLevel="0" max="12" min="12" style="0" width="24"/>
    <col collapsed="false" customWidth="true" hidden="false" outlineLevel="0" max="13" min="13" style="0" width="22"/>
    <col collapsed="false" customWidth="true" hidden="false" outlineLevel="0" max="14" min="14" style="0" width="15"/>
    <col collapsed="false" customWidth="true" hidden="false" outlineLevel="0" max="15" min="15" style="0" width="21"/>
    <col collapsed="false" customWidth="true" hidden="false" outlineLevel="0" max="16" min="16" style="0" width="28"/>
    <col collapsed="false" customWidth="true" hidden="false" outlineLevel="0" max="17" min="17" style="0" width="25"/>
    <col collapsed="false" customWidth="true" hidden="false" outlineLevel="0" max="18" min="18" style="0" width="24"/>
    <col collapsed="false" customWidth="true" hidden="false" outlineLevel="0" max="19" min="19" style="0" width="27"/>
    <col collapsed="false" customWidth="true" hidden="false" outlineLevel="0" max="20" min="20" style="0" width="20"/>
    <col collapsed="false" customWidth="true" hidden="false" outlineLevel="0" max="21" min="21" style="0" width="19"/>
    <col collapsed="false" customWidth="true" hidden="false" outlineLevel="0" max="22" min="22" style="0" width="16"/>
    <col collapsed="false" customWidth="true" hidden="false" outlineLevel="0" max="23" min="23" style="0" width="26"/>
    <col collapsed="false" customWidth="true" hidden="false" outlineLevel="0" max="24" min="24" style="0" width="16"/>
    <col collapsed="false" customWidth="true" hidden="false" outlineLevel="0" max="25" min="25" style="0" width="26"/>
    <col collapsed="false" customWidth="true" hidden="false" outlineLevel="0" max="26" min="26" style="0" width="30"/>
    <col collapsed="false" customWidth="true" hidden="false" outlineLevel="0" max="27" min="27" style="0" width="27"/>
    <col collapsed="false" customWidth="true" hidden="false" outlineLevel="0" max="28" min="28" style="0" width="26"/>
    <col collapsed="false" customWidth="true" hidden="false" outlineLevel="0" max="29" min="29" style="0" width="29"/>
    <col collapsed="false" customWidth="true" hidden="false" outlineLevel="0" max="30" min="30" style="0" width="27"/>
    <col collapsed="false" customWidth="true" hidden="false" outlineLevel="0" max="31" min="31" style="0" width="22"/>
    <col collapsed="false" customWidth="true" hidden="false" outlineLevel="0" max="32" min="32" style="0" width="26"/>
    <col collapsed="false" customWidth="true" hidden="false" outlineLevel="0" max="33" min="33" style="0" width="27"/>
    <col collapsed="false" customWidth="true" hidden="false" outlineLevel="0" max="34" min="34" style="0" width="21"/>
    <col collapsed="false" customWidth="true" hidden="false" outlineLevel="0" max="35" min="35" style="0" width="24"/>
  </cols>
  <sheetData>
    <row r="1" customFormat="false" ht="15" hidden="false" customHeight="false" outlineLevel="0" collapsed="false">
      <c r="A1" s="40" t="s">
        <v>252</v>
      </c>
      <c r="B1" s="40" t="s">
        <v>254</v>
      </c>
      <c r="C1" s="40" t="s">
        <v>257</v>
      </c>
      <c r="D1" s="40" t="s">
        <v>459</v>
      </c>
      <c r="E1" s="40" t="s">
        <v>460</v>
      </c>
      <c r="F1" s="40" t="s">
        <v>261</v>
      </c>
      <c r="G1" s="40" t="s">
        <v>263</v>
      </c>
      <c r="H1" s="40" t="s">
        <v>265</v>
      </c>
      <c r="I1" s="40" t="s">
        <v>267</v>
      </c>
      <c r="J1" s="40" t="s">
        <v>461</v>
      </c>
      <c r="K1" s="40" t="s">
        <v>462</v>
      </c>
      <c r="L1" s="40" t="s">
        <v>273</v>
      </c>
      <c r="M1" s="40" t="s">
        <v>275</v>
      </c>
      <c r="N1" s="40" t="s">
        <v>463</v>
      </c>
      <c r="O1" s="40" t="s">
        <v>464</v>
      </c>
      <c r="P1" s="40" t="s">
        <v>465</v>
      </c>
      <c r="Q1" s="40" t="s">
        <v>466</v>
      </c>
      <c r="R1" s="40" t="s">
        <v>467</v>
      </c>
      <c r="S1" s="40" t="s">
        <v>468</v>
      </c>
      <c r="T1" s="40" t="s">
        <v>469</v>
      </c>
      <c r="U1" s="40" t="s">
        <v>281</v>
      </c>
      <c r="V1" s="40" t="s">
        <v>284</v>
      </c>
      <c r="W1" s="40" t="s">
        <v>286</v>
      </c>
      <c r="X1" s="40" t="s">
        <v>470</v>
      </c>
      <c r="Y1" s="40" t="s">
        <v>471</v>
      </c>
      <c r="Z1" s="40" t="s">
        <v>472</v>
      </c>
      <c r="AA1" s="40" t="s">
        <v>473</v>
      </c>
      <c r="AB1" s="40" t="s">
        <v>474</v>
      </c>
      <c r="AC1" s="40" t="s">
        <v>475</v>
      </c>
      <c r="AD1" s="40" t="s">
        <v>293</v>
      </c>
      <c r="AE1" s="40" t="s">
        <v>476</v>
      </c>
      <c r="AF1" s="40" t="s">
        <v>477</v>
      </c>
      <c r="AG1" s="40" t="s">
        <v>478</v>
      </c>
      <c r="AH1" s="40" t="s">
        <v>479</v>
      </c>
      <c r="AI1" s="40" t="s">
        <v>480</v>
      </c>
    </row>
    <row r="2" customFormat="false" ht="15" hidden="false" customHeight="false" outlineLevel="0" collapsed="false">
      <c r="A2" s="41" t="n">
        <v>2002</v>
      </c>
      <c r="B2" s="28" t="n">
        <v>13335899000</v>
      </c>
      <c r="C2" s="28" t="n">
        <v>11176044000</v>
      </c>
      <c r="D2" s="28" t="n">
        <v>7360000</v>
      </c>
      <c r="E2" s="28" t="n">
        <v>5894792000</v>
      </c>
      <c r="F2" s="28" t="n">
        <v>4539225000</v>
      </c>
      <c r="G2" s="28" t="n">
        <v>734666000</v>
      </c>
      <c r="H2" s="28" t="n">
        <v>2159856000</v>
      </c>
      <c r="I2" s="4" t="s">
        <v>481</v>
      </c>
      <c r="J2" s="28" t="n">
        <v>559710</v>
      </c>
      <c r="K2" s="4" t="s">
        <v>482</v>
      </c>
      <c r="L2" s="4" t="s">
        <v>483</v>
      </c>
      <c r="M2" s="42" t="n">
        <v>3.321</v>
      </c>
      <c r="N2" s="28" t="n">
        <v>44288855984.0537</v>
      </c>
      <c r="O2" s="28" t="n">
        <v>37115923207.5353</v>
      </c>
      <c r="P2" s="28" t="n">
        <v>24442745.108</v>
      </c>
      <c r="Q2" s="28" t="n">
        <v>19576752489.1986</v>
      </c>
      <c r="R2" s="28" t="n">
        <v>15074880388.9574</v>
      </c>
      <c r="S2" s="28" t="n">
        <v>2439844263.2462</v>
      </c>
      <c r="T2" s="28" t="n">
        <v>7172936097.5435</v>
      </c>
      <c r="U2" s="42"/>
      <c r="V2" s="42"/>
      <c r="W2" s="42" t="n">
        <v>80.8343</v>
      </c>
      <c r="X2" s="42" t="n">
        <v>23826.4441</v>
      </c>
      <c r="Y2" s="42" t="n">
        <v>79128.2199</v>
      </c>
      <c r="Z2" s="42" t="n">
        <v>0.0659</v>
      </c>
      <c r="AA2" s="42" t="n">
        <v>52.7449</v>
      </c>
      <c r="AB2" s="42" t="n">
        <v>40.6157</v>
      </c>
      <c r="AC2" s="42" t="n">
        <v>6.5736</v>
      </c>
      <c r="AD2" s="42" t="n">
        <v>16.1958</v>
      </c>
      <c r="AE2" s="42" t="n">
        <v>1.56</v>
      </c>
      <c r="AF2" s="42" t="n">
        <v>45.21</v>
      </c>
      <c r="AG2" s="42" t="n">
        <v>55.95</v>
      </c>
      <c r="AH2" s="42" t="n">
        <v>0.9</v>
      </c>
      <c r="AI2" s="42" t="n">
        <v>2.57</v>
      </c>
    </row>
    <row r="3" customFormat="false" ht="15" hidden="false" customHeight="false" outlineLevel="0" collapsed="false">
      <c r="A3" s="41" t="n">
        <v>2003</v>
      </c>
      <c r="B3" s="28" t="n">
        <v>15871020000</v>
      </c>
      <c r="C3" s="28" t="n">
        <v>13662072000</v>
      </c>
      <c r="D3" s="28" t="n">
        <v>15914000</v>
      </c>
      <c r="E3" s="28" t="n">
        <v>7686678000</v>
      </c>
      <c r="F3" s="28" t="n">
        <v>5123444000</v>
      </c>
      <c r="G3" s="28" t="n">
        <v>836036000</v>
      </c>
      <c r="H3" s="28" t="n">
        <v>2208948000</v>
      </c>
      <c r="I3" s="4" t="s">
        <v>481</v>
      </c>
      <c r="J3" s="28" t="n">
        <v>569177</v>
      </c>
      <c r="K3" s="4" t="s">
        <v>482</v>
      </c>
      <c r="L3" s="4" t="s">
        <v>483</v>
      </c>
      <c r="M3" s="42" t="n">
        <v>3.0384</v>
      </c>
      <c r="N3" s="28" t="n">
        <v>48223290562.4102</v>
      </c>
      <c r="O3" s="28" t="n">
        <v>41511513925.4168</v>
      </c>
      <c r="P3" s="28" t="n">
        <v>48353883.1159</v>
      </c>
      <c r="Q3" s="28" t="n">
        <v>23355581850.0441</v>
      </c>
      <c r="R3" s="28" t="n">
        <v>15567325143.0744</v>
      </c>
      <c r="S3" s="28" t="n">
        <v>2540253049.1824</v>
      </c>
      <c r="T3" s="28" t="n">
        <v>6711776636.9934</v>
      </c>
      <c r="U3" s="42" t="n">
        <v>19.0097</v>
      </c>
      <c r="V3" s="42" t="n">
        <v>8.8836</v>
      </c>
      <c r="W3" s="42" t="n">
        <v>88.0152</v>
      </c>
      <c r="X3" s="42" t="n">
        <v>27884.1555</v>
      </c>
      <c r="Y3" s="42" t="n">
        <v>84724.5946</v>
      </c>
      <c r="Z3" s="42" t="n">
        <v>0.1165</v>
      </c>
      <c r="AA3" s="42" t="n">
        <v>56.2629</v>
      </c>
      <c r="AB3" s="42" t="n">
        <v>37.5012</v>
      </c>
      <c r="AC3" s="42" t="n">
        <v>6.1194</v>
      </c>
      <c r="AD3" s="42" t="n">
        <v>13.9181</v>
      </c>
      <c r="AE3" s="42" t="n">
        <v>1.64</v>
      </c>
      <c r="AF3" s="42" t="n">
        <v>45.68</v>
      </c>
      <c r="AG3" s="42" t="n">
        <v>56.05</v>
      </c>
      <c r="AH3" s="42" t="n">
        <v>0.92</v>
      </c>
      <c r="AI3" s="42" t="n">
        <v>2.68</v>
      </c>
    </row>
    <row r="4" customFormat="false" ht="15" hidden="false" customHeight="false" outlineLevel="0" collapsed="false">
      <c r="A4" s="41" t="n">
        <v>2004</v>
      </c>
      <c r="B4" s="28" t="n">
        <v>18673609000</v>
      </c>
      <c r="C4" s="28" t="n">
        <v>15717784000</v>
      </c>
      <c r="D4" s="28" t="n">
        <v>17861000</v>
      </c>
      <c r="E4" s="28" t="n">
        <v>9276760000</v>
      </c>
      <c r="F4" s="28" t="n">
        <v>5546388000</v>
      </c>
      <c r="G4" s="28" t="n">
        <v>876777000</v>
      </c>
      <c r="H4" s="28" t="n">
        <v>2955824000</v>
      </c>
      <c r="I4" s="4" t="s">
        <v>481</v>
      </c>
      <c r="J4" s="28" t="n">
        <v>589050</v>
      </c>
      <c r="K4" s="4" t="s">
        <v>482</v>
      </c>
      <c r="L4" s="4" t="s">
        <v>483</v>
      </c>
      <c r="M4" s="42" t="n">
        <v>2.8238</v>
      </c>
      <c r="N4" s="28" t="n">
        <v>52731240999.9588</v>
      </c>
      <c r="O4" s="28" t="n">
        <v>44384470944.4916</v>
      </c>
      <c r="P4" s="28" t="n">
        <v>50436565.0743</v>
      </c>
      <c r="Q4" s="28" t="n">
        <v>26196064577.4889</v>
      </c>
      <c r="R4" s="28" t="n">
        <v>15662099506.7038</v>
      </c>
      <c r="S4" s="28" t="n">
        <v>2475875942.9</v>
      </c>
      <c r="T4" s="28" t="n">
        <v>8346767231.6295</v>
      </c>
      <c r="U4" s="42" t="n">
        <v>17.6585</v>
      </c>
      <c r="V4" s="42" t="n">
        <v>9.3481</v>
      </c>
      <c r="W4" s="42" t="n">
        <v>96.243</v>
      </c>
      <c r="X4" s="42" t="n">
        <v>31701.2291</v>
      </c>
      <c r="Y4" s="42" t="n">
        <v>89519.1257</v>
      </c>
      <c r="Z4" s="42" t="n">
        <v>0.1136</v>
      </c>
      <c r="AA4" s="42" t="n">
        <v>59.0208</v>
      </c>
      <c r="AB4" s="42" t="n">
        <v>35.2873</v>
      </c>
      <c r="AC4" s="42" t="n">
        <v>5.5782</v>
      </c>
      <c r="AD4" s="42" t="n">
        <v>15.8289</v>
      </c>
      <c r="AE4" s="42" t="n">
        <v>1.69</v>
      </c>
      <c r="AF4" s="42" t="n">
        <v>46.51</v>
      </c>
      <c r="AG4" s="42" t="n">
        <v>57.53</v>
      </c>
      <c r="AH4" s="42" t="n">
        <v>0.95</v>
      </c>
      <c r="AI4" s="42" t="n">
        <v>2.86</v>
      </c>
    </row>
    <row r="5" customFormat="false" ht="15" hidden="false" customHeight="false" outlineLevel="0" collapsed="false">
      <c r="A5" s="41" t="n">
        <v>2005</v>
      </c>
      <c r="B5" s="28" t="n">
        <v>18461686000</v>
      </c>
      <c r="C5" s="28" t="n">
        <v>15784020000</v>
      </c>
      <c r="D5" s="28" t="n">
        <v>13480000</v>
      </c>
      <c r="E5" s="28" t="n">
        <v>8726268000</v>
      </c>
      <c r="F5" s="28" t="n">
        <v>6034808000</v>
      </c>
      <c r="G5" s="28" t="n">
        <v>1009464000</v>
      </c>
      <c r="H5" s="28" t="n">
        <v>2677666000</v>
      </c>
      <c r="I5" s="4" t="s">
        <v>481</v>
      </c>
      <c r="J5" s="28" t="n">
        <v>600049</v>
      </c>
      <c r="K5" s="4" t="s">
        <v>482</v>
      </c>
      <c r="L5" s="4" t="s">
        <v>483</v>
      </c>
      <c r="M5" s="42" t="n">
        <v>2.6718</v>
      </c>
      <c r="N5" s="28" t="n">
        <v>49326147075.4803</v>
      </c>
      <c r="O5" s="28" t="n">
        <v>42171927957.3015</v>
      </c>
      <c r="P5" s="28" t="n">
        <v>36016020.5616</v>
      </c>
      <c r="Q5" s="28" t="n">
        <v>23314944192.4241</v>
      </c>
      <c r="R5" s="28" t="n">
        <v>16123870104.8369</v>
      </c>
      <c r="S5" s="28" t="n">
        <v>2697097639.479</v>
      </c>
      <c r="T5" s="28" t="n">
        <v>7154219118.1788</v>
      </c>
      <c r="U5" s="42" t="n">
        <v>-1.1349</v>
      </c>
      <c r="V5" s="42" t="n">
        <v>-6.4575</v>
      </c>
      <c r="W5" s="42" t="n">
        <v>90.0281</v>
      </c>
      <c r="X5" s="42" t="n">
        <v>30766.964</v>
      </c>
      <c r="Y5" s="42" t="n">
        <v>82203.5318</v>
      </c>
      <c r="Z5" s="42" t="n">
        <v>0.0854</v>
      </c>
      <c r="AA5" s="42" t="n">
        <v>55.2855</v>
      </c>
      <c r="AB5" s="42" t="n">
        <v>38.2337</v>
      </c>
      <c r="AC5" s="42" t="n">
        <v>6.3955</v>
      </c>
      <c r="AD5" s="42" t="n">
        <v>14.5039</v>
      </c>
      <c r="AE5" s="42" t="n">
        <v>1.48</v>
      </c>
      <c r="AF5" s="42" t="n">
        <v>43.42</v>
      </c>
      <c r="AG5" s="42" t="n">
        <v>54.93</v>
      </c>
      <c r="AH5" s="42" t="n">
        <v>0.85</v>
      </c>
      <c r="AI5" s="42" t="n">
        <v>2.48</v>
      </c>
    </row>
    <row r="6" customFormat="false" ht="15" hidden="false" customHeight="false" outlineLevel="0" collapsed="false">
      <c r="A6" s="41" t="n">
        <v>2006</v>
      </c>
      <c r="B6" s="28" t="n">
        <v>18940246000</v>
      </c>
      <c r="C6" s="28" t="n">
        <v>16124212000</v>
      </c>
      <c r="D6" s="28" t="n">
        <v>14371000</v>
      </c>
      <c r="E6" s="28" t="n">
        <v>8428423000</v>
      </c>
      <c r="F6" s="28" t="n">
        <v>6555758000</v>
      </c>
      <c r="G6" s="28" t="n">
        <v>1125660000</v>
      </c>
      <c r="H6" s="28" t="n">
        <v>2816034000</v>
      </c>
      <c r="I6" s="4" t="s">
        <v>481</v>
      </c>
      <c r="J6" s="28" t="n">
        <v>610965</v>
      </c>
      <c r="K6" s="4" t="s">
        <v>482</v>
      </c>
      <c r="L6" s="4" t="s">
        <v>483</v>
      </c>
      <c r="M6" s="42" t="n">
        <v>2.5905</v>
      </c>
      <c r="N6" s="28" t="n">
        <v>49064154781.5094</v>
      </c>
      <c r="O6" s="28" t="n">
        <v>41769300847.4056</v>
      </c>
      <c r="P6" s="28" t="n">
        <v>37227656.3021</v>
      </c>
      <c r="Q6" s="28" t="n">
        <v>21833583926.842</v>
      </c>
      <c r="R6" s="28" t="n">
        <v>16982499869.4377</v>
      </c>
      <c r="S6" s="28" t="n">
        <v>2915989394.8238</v>
      </c>
      <c r="T6" s="28" t="n">
        <v>7294853934.1038</v>
      </c>
      <c r="U6" s="42" t="n">
        <v>2.5922</v>
      </c>
      <c r="V6" s="42" t="n">
        <v>-0.5311</v>
      </c>
      <c r="W6" s="42" t="n">
        <v>89.55</v>
      </c>
      <c r="X6" s="42" t="n">
        <v>31000.5418</v>
      </c>
      <c r="Y6" s="42" t="n">
        <v>80305.9992</v>
      </c>
      <c r="Z6" s="42" t="n">
        <v>0.0891</v>
      </c>
      <c r="AA6" s="42" t="n">
        <v>52.2718</v>
      </c>
      <c r="AB6" s="42" t="n">
        <v>40.6579</v>
      </c>
      <c r="AC6" s="42" t="n">
        <v>6.9812</v>
      </c>
      <c r="AD6" s="42" t="n">
        <v>14.868</v>
      </c>
      <c r="AE6" s="42" t="n">
        <v>1.36</v>
      </c>
      <c r="AF6" s="42" t="n">
        <v>41.17</v>
      </c>
      <c r="AG6" s="42" t="n">
        <v>52.58</v>
      </c>
      <c r="AH6" s="42" t="n">
        <v>0.79</v>
      </c>
      <c r="AI6" s="42" t="n">
        <v>2.3</v>
      </c>
    </row>
    <row r="7" customFormat="false" ht="15" hidden="false" customHeight="false" outlineLevel="0" collapsed="false">
      <c r="A7" s="41" t="n">
        <v>2007</v>
      </c>
      <c r="B7" s="28" t="n">
        <v>21861254000</v>
      </c>
      <c r="C7" s="28" t="n">
        <v>18877332000</v>
      </c>
      <c r="D7" s="28" t="n">
        <v>16963000</v>
      </c>
      <c r="E7" s="28" t="n">
        <v>10386034000</v>
      </c>
      <c r="F7" s="28" t="n">
        <v>7273250000</v>
      </c>
      <c r="G7" s="28" t="n">
        <v>1201085000</v>
      </c>
      <c r="H7" s="28" t="n">
        <v>2983922000</v>
      </c>
      <c r="I7" s="4" t="s">
        <v>481</v>
      </c>
      <c r="J7" s="28" t="n">
        <v>594948</v>
      </c>
      <c r="K7" s="4" t="s">
        <v>484</v>
      </c>
      <c r="L7" s="4" t="s">
        <v>483</v>
      </c>
      <c r="M7" s="42" t="n">
        <v>2.4799</v>
      </c>
      <c r="N7" s="28" t="n">
        <v>54213039250.0019</v>
      </c>
      <c r="O7" s="28" t="n">
        <v>46813304518.1816</v>
      </c>
      <c r="P7" s="28" t="n">
        <v>42066012.5351</v>
      </c>
      <c r="Q7" s="28" t="n">
        <v>25756000497.2201</v>
      </c>
      <c r="R7" s="28" t="n">
        <v>18036704926.6742</v>
      </c>
      <c r="S7" s="28" t="n">
        <v>2978533081.7522</v>
      </c>
      <c r="T7" s="28" t="n">
        <v>7399734731.8202</v>
      </c>
      <c r="U7" s="42" t="n">
        <v>15.4222</v>
      </c>
      <c r="V7" s="42" t="n">
        <v>10.4942</v>
      </c>
      <c r="W7" s="42" t="n">
        <v>98.9475</v>
      </c>
      <c r="X7" s="42" t="n">
        <v>36744.8147</v>
      </c>
      <c r="Y7" s="42" t="n">
        <v>91122.3153</v>
      </c>
      <c r="Z7" s="42" t="n">
        <v>0.0899</v>
      </c>
      <c r="AA7" s="42" t="n">
        <v>55.0185</v>
      </c>
      <c r="AB7" s="42" t="n">
        <v>38.529</v>
      </c>
      <c r="AC7" s="42" t="n">
        <v>6.3626</v>
      </c>
      <c r="AD7" s="42" t="n">
        <v>13.6494</v>
      </c>
      <c r="AE7" s="42" t="n">
        <v>1.4</v>
      </c>
      <c r="AF7" s="42" t="n">
        <v>41.62</v>
      </c>
      <c r="AG7" s="42" t="n">
        <v>52.91</v>
      </c>
      <c r="AH7" s="42" t="n">
        <v>0.8</v>
      </c>
      <c r="AI7" s="42" t="n">
        <v>2.34</v>
      </c>
    </row>
    <row r="8" customFormat="false" ht="15" hidden="false" customHeight="false" outlineLevel="0" collapsed="false">
      <c r="A8" s="41" t="n">
        <v>2008</v>
      </c>
      <c r="B8" s="28" t="n">
        <v>24884337000</v>
      </c>
      <c r="C8" s="28" t="n">
        <v>21175933000</v>
      </c>
      <c r="D8" s="28" t="n">
        <v>14394000</v>
      </c>
      <c r="E8" s="28" t="n">
        <v>11605818000</v>
      </c>
      <c r="F8" s="28" t="n">
        <v>8236812000</v>
      </c>
      <c r="G8" s="28" t="n">
        <v>1318909000</v>
      </c>
      <c r="H8" s="28" t="n">
        <v>3708404000</v>
      </c>
      <c r="I8" s="4" t="s">
        <v>481</v>
      </c>
      <c r="J8" s="28" t="n">
        <v>609229</v>
      </c>
      <c r="K8" s="4" t="s">
        <v>482</v>
      </c>
      <c r="L8" s="4" t="s">
        <v>483</v>
      </c>
      <c r="M8" s="42" t="n">
        <v>2.3417</v>
      </c>
      <c r="N8" s="28" t="n">
        <v>58271849026.882</v>
      </c>
      <c r="O8" s="28" t="n">
        <v>49587850011.0077</v>
      </c>
      <c r="P8" s="28" t="n">
        <v>33706543.7947</v>
      </c>
      <c r="Q8" s="28" t="n">
        <v>27177435924.03</v>
      </c>
      <c r="R8" s="28" t="n">
        <v>19288207892.6519</v>
      </c>
      <c r="S8" s="28" t="n">
        <v>3088499650.531</v>
      </c>
      <c r="T8" s="28" t="n">
        <v>8683999015.8743</v>
      </c>
      <c r="U8" s="42" t="n">
        <v>13.8285</v>
      </c>
      <c r="V8" s="42" t="n">
        <v>7.4868</v>
      </c>
      <c r="W8" s="42" t="n">
        <v>106.3555</v>
      </c>
      <c r="X8" s="42" t="n">
        <v>40845.6213</v>
      </c>
      <c r="Y8" s="42" t="n">
        <v>95648.5148</v>
      </c>
      <c r="Z8" s="42" t="n">
        <v>0.068</v>
      </c>
      <c r="AA8" s="42" t="n">
        <v>54.8066</v>
      </c>
      <c r="AB8" s="42" t="n">
        <v>38.897</v>
      </c>
      <c r="AC8" s="42" t="n">
        <v>6.2283</v>
      </c>
      <c r="AD8" s="42" t="n">
        <v>14.9026</v>
      </c>
      <c r="AE8" s="42" t="n">
        <v>1.4</v>
      </c>
      <c r="AF8" s="42" t="n">
        <v>41.64</v>
      </c>
      <c r="AG8" s="42" t="n">
        <v>52.82</v>
      </c>
      <c r="AH8" s="42" t="n">
        <v>0.8</v>
      </c>
      <c r="AI8" s="42" t="n">
        <v>2.39</v>
      </c>
    </row>
    <row r="9" customFormat="false" ht="15" hidden="false" customHeight="false" outlineLevel="0" collapsed="false">
      <c r="A9" s="41" t="n">
        <v>2009</v>
      </c>
      <c r="B9" s="28" t="n">
        <v>24566242000</v>
      </c>
      <c r="C9" s="28" t="n">
        <v>21313883000</v>
      </c>
      <c r="D9" s="28" t="n">
        <v>18169000</v>
      </c>
      <c r="E9" s="28" t="n">
        <v>10864657000</v>
      </c>
      <c r="F9" s="28" t="n">
        <v>8877586000</v>
      </c>
      <c r="G9" s="28" t="n">
        <v>1553472000</v>
      </c>
      <c r="H9" s="28" t="n">
        <v>3252359000</v>
      </c>
      <c r="I9" s="4" t="s">
        <v>481</v>
      </c>
      <c r="J9" s="28" t="n">
        <v>615871</v>
      </c>
      <c r="K9" s="4" t="s">
        <v>482</v>
      </c>
      <c r="L9" s="4" t="s">
        <v>483</v>
      </c>
      <c r="M9" s="42" t="n">
        <v>2.245</v>
      </c>
      <c r="N9" s="28" t="n">
        <v>55149998510.3989</v>
      </c>
      <c r="O9" s="28" t="n">
        <v>47848613381.7625</v>
      </c>
      <c r="P9" s="28" t="n">
        <v>40788506.5585</v>
      </c>
      <c r="Q9" s="28" t="n">
        <v>24390617717.0279</v>
      </c>
      <c r="R9" s="28" t="n">
        <v>19929741580.9849</v>
      </c>
      <c r="S9" s="28" t="n">
        <v>3487467822.1417</v>
      </c>
      <c r="T9" s="28" t="n">
        <v>7301385128.6364</v>
      </c>
      <c r="U9" s="42" t="n">
        <v>-1.2783</v>
      </c>
      <c r="V9" s="42" t="n">
        <v>-5.3574</v>
      </c>
      <c r="W9" s="42" t="n">
        <v>100.6576</v>
      </c>
      <c r="X9" s="42" t="n">
        <v>39888.6163</v>
      </c>
      <c r="Y9" s="42" t="n">
        <v>89547.9711</v>
      </c>
      <c r="Z9" s="42" t="n">
        <v>0.0852</v>
      </c>
      <c r="AA9" s="42" t="n">
        <v>50.9746</v>
      </c>
      <c r="AB9" s="42" t="n">
        <v>41.6517</v>
      </c>
      <c r="AC9" s="42" t="n">
        <v>7.2885</v>
      </c>
      <c r="AD9" s="42" t="n">
        <v>13.2391</v>
      </c>
      <c r="AE9" s="42" t="n">
        <v>1.31</v>
      </c>
      <c r="AF9" s="42" t="n">
        <v>39.49</v>
      </c>
      <c r="AG9" s="42" t="n">
        <v>50.33</v>
      </c>
      <c r="AH9" s="42" t="n">
        <v>0.74</v>
      </c>
      <c r="AI9" s="42" t="n">
        <v>2.18</v>
      </c>
    </row>
    <row r="10" customFormat="false" ht="15" hidden="false" customHeight="false" outlineLevel="0" collapsed="false">
      <c r="A10" s="41" t="n">
        <v>2010</v>
      </c>
      <c r="B10" s="28" t="n">
        <v>25848130000</v>
      </c>
      <c r="C10" s="28" t="n">
        <v>21878379000</v>
      </c>
      <c r="D10" s="28" t="n">
        <v>18720000</v>
      </c>
      <c r="E10" s="28" t="n">
        <v>10619747000</v>
      </c>
      <c r="F10" s="28" t="n">
        <v>9610221000</v>
      </c>
      <c r="G10" s="28" t="n">
        <v>1629690000</v>
      </c>
      <c r="H10" s="28" t="n">
        <v>3969752000</v>
      </c>
      <c r="I10" s="4" t="s">
        <v>481</v>
      </c>
      <c r="J10" s="28" t="n">
        <v>629921</v>
      </c>
      <c r="K10" s="4" t="s">
        <v>485</v>
      </c>
      <c r="L10" s="4" t="s">
        <v>483</v>
      </c>
      <c r="M10" s="42" t="n">
        <v>2.1197</v>
      </c>
      <c r="N10" s="28" t="n">
        <v>54789702277.5342</v>
      </c>
      <c r="O10" s="28" t="n">
        <v>46375109987.6492</v>
      </c>
      <c r="P10" s="28" t="n">
        <v>39680364.755</v>
      </c>
      <c r="Q10" s="28" t="n">
        <v>22510439880.6698</v>
      </c>
      <c r="R10" s="28" t="n">
        <v>20370570227.3745</v>
      </c>
      <c r="S10" s="28" t="n">
        <v>3454417395.1723</v>
      </c>
      <c r="T10" s="28" t="n">
        <v>8414594409.5625</v>
      </c>
      <c r="U10" s="42" t="n">
        <v>5.2181</v>
      </c>
      <c r="V10" s="42" t="n">
        <v>-0.6533</v>
      </c>
      <c r="W10" s="42" t="n">
        <v>100</v>
      </c>
      <c r="X10" s="42" t="n">
        <v>41033.9233</v>
      </c>
      <c r="Y10" s="42" t="n">
        <v>86978.6882</v>
      </c>
      <c r="Z10" s="42" t="n">
        <v>0.0856</v>
      </c>
      <c r="AA10" s="42" t="n">
        <v>48.5399</v>
      </c>
      <c r="AB10" s="42" t="n">
        <v>43.9257</v>
      </c>
      <c r="AC10" s="42" t="n">
        <v>7.4489</v>
      </c>
      <c r="AD10" s="42" t="n">
        <v>15.358</v>
      </c>
      <c r="AE10" s="42" t="n">
        <v>1.19</v>
      </c>
      <c r="AF10" s="42" t="n">
        <v>38.02</v>
      </c>
      <c r="AG10" s="42" t="n">
        <v>49.4</v>
      </c>
      <c r="AH10" s="42" t="n">
        <v>0.67</v>
      </c>
      <c r="AI10" s="42" t="n">
        <v>2</v>
      </c>
    </row>
    <row r="11" customFormat="false" ht="15" hidden="false" customHeight="false" outlineLevel="0" collapsed="false">
      <c r="A11" s="41" t="n">
        <v>2011</v>
      </c>
      <c r="B11" s="28" t="n">
        <v>25518740000</v>
      </c>
      <c r="C11" s="28" t="n">
        <v>21268398000</v>
      </c>
      <c r="D11" s="28" t="n">
        <v>15494000</v>
      </c>
      <c r="E11" s="28" t="n">
        <v>8615541000</v>
      </c>
      <c r="F11" s="28" t="n">
        <v>10938465000</v>
      </c>
      <c r="G11" s="28" t="n">
        <v>1698898000</v>
      </c>
      <c r="H11" s="28" t="n">
        <v>4250342000</v>
      </c>
      <c r="I11" s="4" t="s">
        <v>481</v>
      </c>
      <c r="J11" s="28" t="n">
        <v>636876</v>
      </c>
      <c r="K11" s="4" t="s">
        <v>482</v>
      </c>
      <c r="L11" s="4" t="s">
        <v>483</v>
      </c>
      <c r="M11" s="42" t="n">
        <v>1.9903</v>
      </c>
      <c r="N11" s="28" t="n">
        <v>50790142414.4688</v>
      </c>
      <c r="O11" s="28" t="n">
        <v>42330654387.6227</v>
      </c>
      <c r="P11" s="28" t="n">
        <v>30837826.1062</v>
      </c>
      <c r="Q11" s="28" t="n">
        <v>17147576814.8308</v>
      </c>
      <c r="R11" s="28" t="n">
        <v>21770910129.0143</v>
      </c>
      <c r="S11" s="28" t="n">
        <v>3381329617.6714</v>
      </c>
      <c r="T11" s="28" t="n">
        <v>8459488026.8461</v>
      </c>
      <c r="U11" s="42" t="n">
        <v>-1.2743</v>
      </c>
      <c r="V11" s="42" t="n">
        <v>-7.2998</v>
      </c>
      <c r="W11" s="42" t="n">
        <v>92.7002</v>
      </c>
      <c r="X11" s="42" t="n">
        <v>40068.6162</v>
      </c>
      <c r="Y11" s="42" t="n">
        <v>79748.8717</v>
      </c>
      <c r="Z11" s="42" t="n">
        <v>0.0728</v>
      </c>
      <c r="AA11" s="42" t="n">
        <v>40.5087</v>
      </c>
      <c r="AB11" s="42" t="n">
        <v>51.4306</v>
      </c>
      <c r="AC11" s="42" t="n">
        <v>7.9879</v>
      </c>
      <c r="AD11" s="42" t="n">
        <v>16.6558</v>
      </c>
      <c r="AE11" s="42" t="n">
        <v>1.04</v>
      </c>
      <c r="AF11" s="42" t="n">
        <v>35.32</v>
      </c>
      <c r="AG11" s="42" t="n">
        <v>46.84</v>
      </c>
      <c r="AH11" s="42" t="n">
        <v>0.58</v>
      </c>
      <c r="AI11" s="42" t="n">
        <v>1.78</v>
      </c>
    </row>
    <row r="12" customFormat="false" ht="15" hidden="false" customHeight="false" outlineLevel="0" collapsed="false">
      <c r="A12" s="41" t="n">
        <v>2012</v>
      </c>
      <c r="B12" s="28" t="n">
        <v>26584749000</v>
      </c>
      <c r="C12" s="28" t="n">
        <v>21934026000</v>
      </c>
      <c r="D12" s="28" t="n">
        <v>16121000</v>
      </c>
      <c r="E12" s="28" t="n">
        <v>7790492000</v>
      </c>
      <c r="F12" s="28" t="n">
        <v>12293119000</v>
      </c>
      <c r="G12" s="28" t="n">
        <v>1834294000</v>
      </c>
      <c r="H12" s="28" t="n">
        <v>4650722000</v>
      </c>
      <c r="I12" s="4" t="s">
        <v>481</v>
      </c>
      <c r="J12" s="28" t="n">
        <v>643603</v>
      </c>
      <c r="K12" s="4" t="s">
        <v>482</v>
      </c>
      <c r="L12" s="4" t="s">
        <v>483</v>
      </c>
      <c r="M12" s="42" t="n">
        <v>1.8805</v>
      </c>
      <c r="N12" s="28" t="n">
        <v>49992279137.644</v>
      </c>
      <c r="O12" s="28" t="n">
        <v>41246654252.9456</v>
      </c>
      <c r="P12" s="28" t="n">
        <v>30315333.5011</v>
      </c>
      <c r="Q12" s="28" t="n">
        <v>14649920173.5394</v>
      </c>
      <c r="R12" s="28" t="n">
        <v>23117052431.8388</v>
      </c>
      <c r="S12" s="28" t="n">
        <v>3449366314.0662</v>
      </c>
      <c r="T12" s="28" t="n">
        <v>8745623004.2113</v>
      </c>
      <c r="U12" s="42" t="n">
        <v>4.1774</v>
      </c>
      <c r="V12" s="42" t="n">
        <v>-1.5709</v>
      </c>
      <c r="W12" s="42" t="n">
        <v>91.2439</v>
      </c>
      <c r="X12" s="42" t="n">
        <v>41306.1297</v>
      </c>
      <c r="Y12" s="42" t="n">
        <v>77675.6465</v>
      </c>
      <c r="Z12" s="42" t="n">
        <v>0.0735</v>
      </c>
      <c r="AA12" s="42" t="n">
        <v>35.5178</v>
      </c>
      <c r="AB12" s="42" t="n">
        <v>56.0459</v>
      </c>
      <c r="AC12" s="42" t="n">
        <v>8.3628</v>
      </c>
      <c r="AD12" s="42" t="n">
        <v>17.4939</v>
      </c>
      <c r="AE12" s="42" t="n">
        <v>0.99</v>
      </c>
      <c r="AF12" s="42" t="n">
        <v>34.53</v>
      </c>
      <c r="AG12" s="42" t="n">
        <v>46.36</v>
      </c>
      <c r="AH12" s="42" t="n">
        <v>0.55</v>
      </c>
      <c r="AI12" s="42" t="n">
        <v>1.71</v>
      </c>
    </row>
    <row r="13" customFormat="false" ht="15" hidden="false" customHeight="false" outlineLevel="0" collapsed="false">
      <c r="A13" s="41" t="n">
        <v>2013</v>
      </c>
      <c r="B13" s="28" t="n">
        <v>28290100000</v>
      </c>
      <c r="C13" s="28" t="n">
        <v>23368234000</v>
      </c>
      <c r="D13" s="28" t="n">
        <v>22714000</v>
      </c>
      <c r="E13" s="28" t="n">
        <v>7537678000</v>
      </c>
      <c r="F13" s="28" t="n">
        <v>13625051000</v>
      </c>
      <c r="G13" s="28" t="n">
        <v>2182790000</v>
      </c>
      <c r="H13" s="28" t="n">
        <v>4921866000</v>
      </c>
      <c r="I13" s="4" t="s">
        <v>481</v>
      </c>
      <c r="J13" s="28" t="n">
        <v>673255</v>
      </c>
      <c r="K13" s="4" t="s">
        <v>482</v>
      </c>
      <c r="L13" s="4" t="s">
        <v>483</v>
      </c>
      <c r="M13" s="42" t="n">
        <v>1.7756</v>
      </c>
      <c r="N13" s="28" t="n">
        <v>50230544609.4613</v>
      </c>
      <c r="O13" s="28" t="n">
        <v>41491515419.9289</v>
      </c>
      <c r="P13" s="28" t="n">
        <v>40329888.9102</v>
      </c>
      <c r="Q13" s="28" t="n">
        <v>13383539507.8404</v>
      </c>
      <c r="R13" s="28" t="n">
        <v>24191987022.3748</v>
      </c>
      <c r="S13" s="28" t="n">
        <v>3875657225.2514</v>
      </c>
      <c r="T13" s="28" t="n">
        <v>8739029189.5324</v>
      </c>
      <c r="U13" s="42" t="n">
        <v>6.4148</v>
      </c>
      <c r="V13" s="42" t="n">
        <v>0.4766</v>
      </c>
      <c r="W13" s="42" t="n">
        <v>91.6788</v>
      </c>
      <c r="X13" s="42" t="n">
        <v>42019.8885</v>
      </c>
      <c r="Y13" s="42" t="n">
        <v>74608.4984</v>
      </c>
      <c r="Z13" s="42" t="n">
        <v>0.0972</v>
      </c>
      <c r="AA13" s="42" t="n">
        <v>32.2561</v>
      </c>
      <c r="AB13" s="42" t="n">
        <v>58.3059</v>
      </c>
      <c r="AC13" s="42" t="n">
        <v>9.3408</v>
      </c>
      <c r="AD13" s="42" t="n">
        <v>17.3978</v>
      </c>
      <c r="AE13" s="42" t="n">
        <v>0.96</v>
      </c>
      <c r="AF13" s="42" t="n">
        <v>32.67</v>
      </c>
      <c r="AG13" s="42" t="n">
        <v>45.94</v>
      </c>
      <c r="AH13" s="42" t="n">
        <v>0.53</v>
      </c>
      <c r="AI13" s="42" t="n">
        <v>1.65</v>
      </c>
    </row>
    <row r="14" customFormat="false" ht="15" hidden="false" customHeight="false" outlineLevel="0" collapsed="false">
      <c r="A14" s="41" t="n">
        <v>2014</v>
      </c>
      <c r="B14" s="28" t="n">
        <v>30343668000</v>
      </c>
      <c r="C14" s="28" t="n">
        <v>25631204000</v>
      </c>
      <c r="D14" s="28" t="n">
        <v>12442000</v>
      </c>
      <c r="E14" s="28" t="n">
        <v>8739559000</v>
      </c>
      <c r="F14" s="28" t="n">
        <v>14556850000</v>
      </c>
      <c r="G14" s="28" t="n">
        <v>2322353000</v>
      </c>
      <c r="H14" s="28" t="n">
        <v>4712464000</v>
      </c>
      <c r="I14" s="4" t="s">
        <v>481</v>
      </c>
      <c r="J14" s="28" t="n">
        <v>681036</v>
      </c>
      <c r="K14" s="4" t="s">
        <v>482</v>
      </c>
      <c r="L14" s="4" t="s">
        <v>483</v>
      </c>
      <c r="M14" s="42" t="n">
        <v>1.6686</v>
      </c>
      <c r="N14" s="28" t="n">
        <v>50631295413.7004</v>
      </c>
      <c r="O14" s="28" t="n">
        <v>42768101125.1777</v>
      </c>
      <c r="P14" s="28" t="n">
        <v>20760660.1001</v>
      </c>
      <c r="Q14" s="28" t="n">
        <v>14582785229.3422</v>
      </c>
      <c r="R14" s="28" t="n">
        <v>24289488424.5017</v>
      </c>
      <c r="S14" s="28" t="n">
        <v>3875066811.2337</v>
      </c>
      <c r="T14" s="28" t="n">
        <v>7863194288.5227</v>
      </c>
      <c r="U14" s="42" t="n">
        <v>7.259</v>
      </c>
      <c r="V14" s="42" t="n">
        <v>0.7978</v>
      </c>
      <c r="W14" s="42" t="n">
        <v>92.4102</v>
      </c>
      <c r="X14" s="42" t="n">
        <v>44555.1601</v>
      </c>
      <c r="Y14" s="42" t="n">
        <v>74344.5213</v>
      </c>
      <c r="Z14" s="42" t="n">
        <v>0.0485</v>
      </c>
      <c r="AA14" s="42" t="n">
        <v>34.0973</v>
      </c>
      <c r="AB14" s="42" t="n">
        <v>56.7935</v>
      </c>
      <c r="AC14" s="42" t="n">
        <v>9.0606</v>
      </c>
      <c r="AD14" s="42" t="n">
        <v>15.5303</v>
      </c>
      <c r="AE14" s="42" t="n">
        <v>0.96</v>
      </c>
      <c r="AF14" s="42" t="n">
        <v>31.66</v>
      </c>
      <c r="AG14" s="42" t="n">
        <v>46.16</v>
      </c>
      <c r="AH14" s="42" t="n">
        <v>0.53</v>
      </c>
      <c r="AI14" s="42" t="n">
        <v>1.63</v>
      </c>
    </row>
    <row r="15" customFormat="false" ht="15" hidden="false" customHeight="false" outlineLevel="0" collapsed="false">
      <c r="A15" s="41" t="n">
        <v>2015</v>
      </c>
      <c r="B15" s="28" t="n">
        <v>33889622000</v>
      </c>
      <c r="C15" s="28" t="n">
        <v>28810737000</v>
      </c>
      <c r="D15" s="28" t="n">
        <v>13943000</v>
      </c>
      <c r="E15" s="28" t="n">
        <v>10899692000</v>
      </c>
      <c r="F15" s="28" t="n">
        <v>15362387000</v>
      </c>
      <c r="G15" s="28" t="n">
        <v>2534714000</v>
      </c>
      <c r="H15" s="28" t="n">
        <v>5078885000</v>
      </c>
      <c r="I15" s="4" t="s">
        <v>481</v>
      </c>
      <c r="J15" s="28" t="n">
        <v>688597</v>
      </c>
      <c r="K15" s="4" t="s">
        <v>482</v>
      </c>
      <c r="L15" s="4" t="s">
        <v>483</v>
      </c>
      <c r="M15" s="42" t="n">
        <v>1.5077</v>
      </c>
      <c r="N15" s="28" t="n">
        <v>51096102687.899</v>
      </c>
      <c r="O15" s="28" t="n">
        <v>43438559930.4133</v>
      </c>
      <c r="P15" s="28" t="n">
        <v>21022157.16</v>
      </c>
      <c r="Q15" s="28" t="n">
        <v>16433697068.0426</v>
      </c>
      <c r="R15" s="28" t="n">
        <v>23162197078.5996</v>
      </c>
      <c r="S15" s="28" t="n">
        <v>3821642118.8898</v>
      </c>
      <c r="T15" s="28" t="n">
        <v>7657542757.4858</v>
      </c>
      <c r="U15" s="42" t="n">
        <v>11.686</v>
      </c>
      <c r="V15" s="42" t="n">
        <v>0.918</v>
      </c>
      <c r="W15" s="42" t="n">
        <v>93.2586</v>
      </c>
      <c r="X15" s="42" t="n">
        <v>49215.4656</v>
      </c>
      <c r="Y15" s="42" t="n">
        <v>74203.2026</v>
      </c>
      <c r="Z15" s="42" t="n">
        <v>0.0484</v>
      </c>
      <c r="AA15" s="42" t="n">
        <v>37.832</v>
      </c>
      <c r="AB15" s="42" t="n">
        <v>53.3217</v>
      </c>
      <c r="AC15" s="42" t="n">
        <v>8.7978</v>
      </c>
      <c r="AD15" s="42" t="n">
        <v>14.9865</v>
      </c>
      <c r="AE15" s="42" t="n">
        <v>1.05</v>
      </c>
      <c r="AF15" s="42" t="n">
        <v>34.63</v>
      </c>
      <c r="AG15" s="42" t="n">
        <v>49.03</v>
      </c>
      <c r="AH15" s="42" t="n">
        <v>0.57</v>
      </c>
      <c r="AI15" s="42" t="n">
        <v>1.75</v>
      </c>
    </row>
    <row r="16" customFormat="false" ht="15" hidden="false" customHeight="false" outlineLevel="0" collapsed="false">
      <c r="A16" s="41" t="n">
        <v>2016</v>
      </c>
      <c r="B16" s="28" t="n">
        <v>41630243000</v>
      </c>
      <c r="C16" s="28" t="n">
        <v>36548674000</v>
      </c>
      <c r="D16" s="28" t="n">
        <v>17142000</v>
      </c>
      <c r="E16" s="28" t="n">
        <v>17238953000</v>
      </c>
      <c r="F16" s="28" t="n">
        <v>16716019000</v>
      </c>
      <c r="G16" s="28" t="n">
        <v>2576560000</v>
      </c>
      <c r="H16" s="28" t="n">
        <v>5081569000</v>
      </c>
      <c r="I16" s="4" t="s">
        <v>481</v>
      </c>
      <c r="J16" s="28" t="n">
        <v>695992</v>
      </c>
      <c r="K16" s="4" t="s">
        <v>482</v>
      </c>
      <c r="L16" s="4" t="s">
        <v>483</v>
      </c>
      <c r="M16" s="42" t="n">
        <v>1.4185</v>
      </c>
      <c r="N16" s="28" t="n">
        <v>59052405052.9761</v>
      </c>
      <c r="O16" s="28" t="n">
        <v>51844210978.9553</v>
      </c>
      <c r="P16" s="28" t="n">
        <v>24315888.0292</v>
      </c>
      <c r="Q16" s="28" t="n">
        <v>24453415639.3278</v>
      </c>
      <c r="R16" s="28" t="n">
        <v>23711634949.1701</v>
      </c>
      <c r="S16" s="28" t="n">
        <v>3654844502.4281</v>
      </c>
      <c r="T16" s="28" t="n">
        <v>7208194074.0208</v>
      </c>
      <c r="U16" s="42" t="n">
        <v>22.8407</v>
      </c>
      <c r="V16" s="42" t="n">
        <v>15.5713</v>
      </c>
      <c r="W16" s="42" t="n">
        <v>107.7801</v>
      </c>
      <c r="X16" s="42" t="n">
        <v>59814.255</v>
      </c>
      <c r="Y16" s="42" t="n">
        <v>84846.3848</v>
      </c>
      <c r="Z16" s="42" t="n">
        <v>0.0469</v>
      </c>
      <c r="AA16" s="42" t="n">
        <v>47.1671</v>
      </c>
      <c r="AB16" s="42" t="n">
        <v>45.7363</v>
      </c>
      <c r="AC16" s="42" t="n">
        <v>7.0497</v>
      </c>
      <c r="AD16" s="42" t="n">
        <v>12.2064</v>
      </c>
      <c r="AE16" s="42" t="n">
        <v>1.25</v>
      </c>
      <c r="AF16" s="42" t="n">
        <v>39.94</v>
      </c>
      <c r="AG16" s="42" t="n">
        <v>52.49</v>
      </c>
      <c r="AH16" s="42" t="n">
        <v>0.66</v>
      </c>
      <c r="AI16" s="42" t="n">
        <v>2.04</v>
      </c>
    </row>
    <row r="17" customFormat="false" ht="15" hidden="false" customHeight="false" outlineLevel="0" collapsed="false">
      <c r="A17" s="41" t="n">
        <v>2017</v>
      </c>
      <c r="B17" s="28" t="n">
        <v>39396425000</v>
      </c>
      <c r="C17" s="28" t="n">
        <v>34554474000</v>
      </c>
      <c r="D17" s="28" t="n">
        <v>16413000</v>
      </c>
      <c r="E17" s="28" t="n">
        <v>15416995000</v>
      </c>
      <c r="F17" s="28" t="n">
        <v>16531868000</v>
      </c>
      <c r="G17" s="28" t="n">
        <v>2589199000</v>
      </c>
      <c r="H17" s="28" t="n">
        <v>4841951000</v>
      </c>
      <c r="I17" s="4" t="s">
        <v>481</v>
      </c>
      <c r="J17" s="28" t="n">
        <v>703219</v>
      </c>
      <c r="K17" s="4" t="s">
        <v>482</v>
      </c>
      <c r="L17" s="4" t="s">
        <v>483</v>
      </c>
      <c r="M17" s="42" t="n">
        <v>1.3779</v>
      </c>
      <c r="N17" s="28" t="n">
        <v>54282408254.8379</v>
      </c>
      <c r="O17" s="28" t="n">
        <v>47610920653.3126</v>
      </c>
      <c r="P17" s="28" t="n">
        <v>22614670.4095</v>
      </c>
      <c r="Q17" s="28" t="n">
        <v>21242323806.1016</v>
      </c>
      <c r="R17" s="28" t="n">
        <v>22778452816.2413</v>
      </c>
      <c r="S17" s="28" t="n">
        <v>3567530738.4114</v>
      </c>
      <c r="T17" s="28" t="n">
        <v>6671487601.5253</v>
      </c>
      <c r="U17" s="42" t="n">
        <v>-5.3659</v>
      </c>
      <c r="V17" s="42" t="n">
        <v>-8.0776</v>
      </c>
      <c r="W17" s="42" t="n">
        <v>99.0741</v>
      </c>
      <c r="X17" s="42" t="n">
        <v>56022.9815</v>
      </c>
      <c r="Y17" s="42" t="n">
        <v>77191.3277</v>
      </c>
      <c r="Z17" s="42" t="n">
        <v>0.0475</v>
      </c>
      <c r="AA17" s="42" t="n">
        <v>44.6165</v>
      </c>
      <c r="AB17" s="42" t="n">
        <v>47.8429</v>
      </c>
      <c r="AC17" s="42" t="n">
        <v>7.4931</v>
      </c>
      <c r="AD17" s="42" t="n">
        <v>12.2903</v>
      </c>
      <c r="AE17" s="42" t="n">
        <v>1.13</v>
      </c>
      <c r="AF17" s="42" t="n">
        <v>36.03</v>
      </c>
      <c r="AG17" s="42" t="n">
        <v>49.73</v>
      </c>
      <c r="AH17" s="42" t="n">
        <v>0.6</v>
      </c>
      <c r="AI17" s="42" t="n">
        <v>1.86</v>
      </c>
    </row>
    <row r="18" customFormat="false" ht="15" hidden="false" customHeight="false" outlineLevel="0" collapsed="false">
      <c r="A18" s="41" t="n">
        <v>2018</v>
      </c>
      <c r="B18" s="28" t="n">
        <v>39694815000</v>
      </c>
      <c r="C18" s="28" t="n">
        <v>34389693000</v>
      </c>
      <c r="D18" s="28" t="n">
        <v>15263000</v>
      </c>
      <c r="E18" s="28" t="n">
        <v>14233930000</v>
      </c>
      <c r="F18" s="28" t="n">
        <v>17476560000</v>
      </c>
      <c r="G18" s="28" t="n">
        <v>2663940000</v>
      </c>
      <c r="H18" s="28" t="n">
        <v>5305121000</v>
      </c>
      <c r="I18" s="4" t="s">
        <v>481</v>
      </c>
      <c r="J18" s="28" t="n">
        <v>713943</v>
      </c>
      <c r="K18" s="4" t="s">
        <v>482</v>
      </c>
      <c r="L18" s="4" t="s">
        <v>483</v>
      </c>
      <c r="M18" s="42" t="n">
        <v>1.328</v>
      </c>
      <c r="N18" s="28" t="n">
        <v>52716670120.5928</v>
      </c>
      <c r="O18" s="28" t="n">
        <v>45671206716.2792</v>
      </c>
      <c r="P18" s="28" t="n">
        <v>20270016.0223</v>
      </c>
      <c r="Q18" s="28" t="n">
        <v>18903360359.0194</v>
      </c>
      <c r="R18" s="28" t="n">
        <v>23209732766.4267</v>
      </c>
      <c r="S18" s="28" t="n">
        <v>3537843574.8108</v>
      </c>
      <c r="T18" s="28" t="n">
        <v>7045462076.2644</v>
      </c>
      <c r="U18" s="42" t="n">
        <v>0.7574</v>
      </c>
      <c r="V18" s="42" t="n">
        <v>-2.8844</v>
      </c>
      <c r="W18" s="42" t="n">
        <v>96.2164</v>
      </c>
      <c r="X18" s="42" t="n">
        <v>55599.4176</v>
      </c>
      <c r="Y18" s="42" t="n">
        <v>73838.766</v>
      </c>
      <c r="Z18" s="42" t="n">
        <v>0.0444</v>
      </c>
      <c r="AA18" s="42" t="n">
        <v>41.3901</v>
      </c>
      <c r="AB18" s="42" t="n">
        <v>50.8192</v>
      </c>
      <c r="AC18" s="42" t="n">
        <v>7.7463</v>
      </c>
      <c r="AD18" s="42" t="n">
        <v>13.3648</v>
      </c>
      <c r="AE18" s="42" t="n">
        <v>1.07</v>
      </c>
      <c r="AF18" s="42" t="n">
        <v>32.02</v>
      </c>
      <c r="AG18" s="42" t="n">
        <v>47.53</v>
      </c>
      <c r="AH18" s="42" t="n">
        <v>0.57</v>
      </c>
      <c r="AI18" s="42" t="n">
        <v>1.8</v>
      </c>
    </row>
    <row r="19" customFormat="false" ht="15" hidden="false" customHeight="false" outlineLevel="0" collapsed="false">
      <c r="A19" s="41" t="n">
        <v>2019</v>
      </c>
      <c r="B19" s="28" t="n">
        <v>43562280000</v>
      </c>
      <c r="C19" s="28" t="n">
        <v>37971786000</v>
      </c>
      <c r="D19" s="28" t="n">
        <v>14761000</v>
      </c>
      <c r="E19" s="28" t="n">
        <v>16119603000</v>
      </c>
      <c r="F19" s="28" t="n">
        <v>19115289000</v>
      </c>
      <c r="G19" s="28" t="n">
        <v>2722133000</v>
      </c>
      <c r="H19" s="28" t="n">
        <v>5590494000</v>
      </c>
      <c r="I19" s="4" t="s">
        <v>481</v>
      </c>
      <c r="J19" s="28" t="n">
        <v>721944</v>
      </c>
      <c r="K19" s="4" t="s">
        <v>482</v>
      </c>
      <c r="L19" s="4" t="s">
        <v>483</v>
      </c>
      <c r="M19" s="42" t="n">
        <v>1.2732</v>
      </c>
      <c r="N19" s="28" t="n">
        <v>55462423731.3813</v>
      </c>
      <c r="O19" s="28" t="n">
        <v>48344744236.7418</v>
      </c>
      <c r="P19" s="28" t="n">
        <v>18793342.2378</v>
      </c>
      <c r="Q19" s="28" t="n">
        <v>20523082170.3466</v>
      </c>
      <c r="R19" s="28" t="n">
        <v>24337115923.8179</v>
      </c>
      <c r="S19" s="28" t="n">
        <v>3465752800.3396</v>
      </c>
      <c r="T19" s="28" t="n">
        <v>7117679494.6395</v>
      </c>
      <c r="U19" s="42" t="n">
        <v>9.743</v>
      </c>
      <c r="V19" s="42" t="n">
        <v>5.2085</v>
      </c>
      <c r="W19" s="42" t="n">
        <v>101.2278</v>
      </c>
      <c r="X19" s="42" t="n">
        <v>60340.248</v>
      </c>
      <c r="Y19" s="42" t="n">
        <v>76823.72</v>
      </c>
      <c r="Z19" s="42" t="n">
        <v>0.0389</v>
      </c>
      <c r="AA19" s="42" t="n">
        <v>42.4515</v>
      </c>
      <c r="AB19" s="42" t="n">
        <v>50.3408</v>
      </c>
      <c r="AC19" s="42" t="n">
        <v>7.1688</v>
      </c>
      <c r="AD19" s="42" t="n">
        <v>12.8333</v>
      </c>
      <c r="AE19" s="42" t="n">
        <v>1.11</v>
      </c>
      <c r="AF19" s="42" t="n">
        <v>33.08</v>
      </c>
      <c r="AG19" s="42" t="n">
        <v>49.14</v>
      </c>
      <c r="AH19" s="42" t="n">
        <v>0.59</v>
      </c>
      <c r="AI19" s="42" t="n">
        <v>1.86</v>
      </c>
    </row>
    <row r="20" customFormat="false" ht="15" hidden="false" customHeight="false" outlineLevel="0" collapsed="false">
      <c r="A20" s="41" t="n">
        <v>2020</v>
      </c>
      <c r="B20" s="28" t="n">
        <v>39363729000</v>
      </c>
      <c r="C20" s="28" t="n">
        <v>34417253000</v>
      </c>
      <c r="D20" s="28" t="n">
        <v>21291000</v>
      </c>
      <c r="E20" s="28" t="n">
        <v>13865580000</v>
      </c>
      <c r="F20" s="28" t="n">
        <v>17770593000</v>
      </c>
      <c r="G20" s="28" t="n">
        <v>2759788000</v>
      </c>
      <c r="H20" s="28" t="n">
        <v>4946476000</v>
      </c>
      <c r="I20" s="4" t="s">
        <v>481</v>
      </c>
      <c r="J20" s="28" t="n">
        <v>729737</v>
      </c>
      <c r="K20" s="4" t="s">
        <v>482</v>
      </c>
      <c r="L20" s="4" t="s">
        <v>483</v>
      </c>
      <c r="M20" s="42" t="n">
        <v>1.2181</v>
      </c>
      <c r="N20" s="28" t="n">
        <v>47949609488.5965</v>
      </c>
      <c r="O20" s="28" t="n">
        <v>41924225243.5034</v>
      </c>
      <c r="P20" s="28" t="n">
        <v>25934919.3168</v>
      </c>
      <c r="Q20" s="28" t="n">
        <v>16889892376.1236</v>
      </c>
      <c r="R20" s="28" t="n">
        <v>21646653312.0068</v>
      </c>
      <c r="S20" s="28" t="n">
        <v>3361743417.9398</v>
      </c>
      <c r="T20" s="28" t="n">
        <v>6025384245.0931</v>
      </c>
      <c r="U20" s="42" t="n">
        <v>-9.638</v>
      </c>
      <c r="V20" s="42" t="n">
        <v>-13.5458</v>
      </c>
      <c r="W20" s="42" t="n">
        <v>87.5157</v>
      </c>
      <c r="X20" s="42" t="n">
        <v>53942.3505</v>
      </c>
      <c r="Y20" s="42" t="n">
        <v>65708.0695</v>
      </c>
      <c r="Z20" s="42" t="n">
        <v>0.0619</v>
      </c>
      <c r="AA20" s="42" t="n">
        <v>40.2867</v>
      </c>
      <c r="AB20" s="42" t="n">
        <v>51.6328</v>
      </c>
      <c r="AC20" s="42" t="n">
        <v>8.0186</v>
      </c>
      <c r="AD20" s="42" t="n">
        <v>12.5661</v>
      </c>
      <c r="AE20" s="42" t="n">
        <v>1</v>
      </c>
      <c r="AF20" s="42" t="n">
        <v>32.28</v>
      </c>
      <c r="AG20" s="42" t="n">
        <v>47.5</v>
      </c>
      <c r="AH20" s="42" t="n">
        <v>0.52</v>
      </c>
      <c r="AI20" s="42" t="n">
        <v>1.66</v>
      </c>
    </row>
    <row r="21" customFormat="false" ht="15" hidden="false" customHeight="false" outlineLevel="0" collapsed="false">
      <c r="A21" s="41" t="n">
        <v>2021</v>
      </c>
      <c r="B21" s="28" t="n">
        <v>45208808000</v>
      </c>
      <c r="C21" s="28" t="n">
        <v>38827489000</v>
      </c>
      <c r="D21" s="28" t="n">
        <v>25504000</v>
      </c>
      <c r="E21" s="28" t="n">
        <v>16459171000</v>
      </c>
      <c r="F21" s="28" t="n">
        <v>19457996000</v>
      </c>
      <c r="G21" s="28" t="n">
        <v>2884819000</v>
      </c>
      <c r="H21" s="28" t="n">
        <v>6381319000</v>
      </c>
      <c r="I21" s="4" t="s">
        <v>481</v>
      </c>
      <c r="J21" s="28" t="n">
        <v>737310</v>
      </c>
      <c r="K21" s="4" t="s">
        <v>482</v>
      </c>
      <c r="L21" s="4" t="s">
        <v>483</v>
      </c>
      <c r="M21" s="42" t="n">
        <v>1.1068</v>
      </c>
      <c r="N21" s="28" t="n">
        <v>50035977570.0238</v>
      </c>
      <c r="O21" s="28" t="n">
        <v>42973293361.4252</v>
      </c>
      <c r="P21" s="28" t="n">
        <v>28227189.0899</v>
      </c>
      <c r="Q21" s="28" t="n">
        <v>18216598654.3416</v>
      </c>
      <c r="R21" s="28" t="n">
        <v>21535623133.7401</v>
      </c>
      <c r="S21" s="28" t="n">
        <v>3192845491.0286</v>
      </c>
      <c r="T21" s="28" t="n">
        <v>7062684208.5986</v>
      </c>
      <c r="U21" s="42" t="n">
        <v>14.8489</v>
      </c>
      <c r="V21" s="42" t="n">
        <v>4.3512</v>
      </c>
      <c r="W21" s="42" t="n">
        <v>91.3237</v>
      </c>
      <c r="X21" s="42" t="n">
        <v>61315.8753</v>
      </c>
      <c r="Y21" s="42" t="n">
        <v>67862.8766</v>
      </c>
      <c r="Z21" s="42" t="n">
        <v>0.0657</v>
      </c>
      <c r="AA21" s="42" t="n">
        <v>42.3905</v>
      </c>
      <c r="AB21" s="42" t="n">
        <v>50.114</v>
      </c>
      <c r="AC21" s="42" t="n">
        <v>7.4298</v>
      </c>
      <c r="AD21" s="42" t="n">
        <v>14.1152</v>
      </c>
      <c r="AE21" s="42" t="n">
        <v>0.96</v>
      </c>
      <c r="AF21" s="42" t="n">
        <v>28.74</v>
      </c>
      <c r="AG21" s="42" t="n">
        <v>46.18</v>
      </c>
      <c r="AH21" s="42" t="n">
        <v>0.5</v>
      </c>
      <c r="AI21" s="42" t="n">
        <v>1.66</v>
      </c>
    </row>
    <row r="22" customFormat="false" ht="15" hidden="false" customHeight="false" outlineLevel="0" collapsed="false">
      <c r="A22" s="41" t="n">
        <v>2022</v>
      </c>
      <c r="B22" s="28" t="n">
        <v>56653327000</v>
      </c>
      <c r="C22" s="28"/>
      <c r="D22" s="28"/>
      <c r="E22" s="28"/>
      <c r="F22" s="28"/>
      <c r="G22" s="28"/>
      <c r="H22" s="28"/>
      <c r="I22" s="4" t="s">
        <v>486</v>
      </c>
      <c r="J22" s="28" t="n">
        <v>697054</v>
      </c>
      <c r="K22" s="4" t="s">
        <v>487</v>
      </c>
      <c r="L22" s="4" t="s">
        <v>488</v>
      </c>
      <c r="M22" s="42" t="n">
        <v>1.0462</v>
      </c>
      <c r="N22" s="28" t="n">
        <v>59270710707.4</v>
      </c>
      <c r="O22" s="28"/>
      <c r="P22" s="28"/>
      <c r="Q22" s="28"/>
      <c r="R22" s="28"/>
      <c r="S22" s="28"/>
      <c r="T22" s="28"/>
      <c r="U22" s="42" t="n">
        <v>25.3148</v>
      </c>
      <c r="V22" s="42" t="n">
        <v>18.4562</v>
      </c>
      <c r="W22" s="42" t="n">
        <v>108.1786</v>
      </c>
      <c r="X22" s="42" t="n">
        <v>81275.3775</v>
      </c>
      <c r="Y22" s="42" t="n">
        <v>85030.3</v>
      </c>
      <c r="Z22" s="42"/>
      <c r="AA22" s="42"/>
      <c r="AB22" s="42"/>
      <c r="AC22" s="42"/>
      <c r="AD22" s="42"/>
      <c r="AE22" s="42" t="n">
        <v>1.05</v>
      </c>
      <c r="AF22" s="42" t="n">
        <v>29.67</v>
      </c>
      <c r="AG22" s="42" t="n">
        <v>49.64</v>
      </c>
      <c r="AH22" s="42" t="n">
        <v>0.56</v>
      </c>
      <c r="AI22" s="42" t="n">
        <v>1.81</v>
      </c>
    </row>
    <row r="23" customFormat="false" ht="15" hidden="false" customHeight="false" outlineLevel="0" collapsed="false">
      <c r="A23" s="41" t="n">
        <v>2023</v>
      </c>
      <c r="B23" s="28" t="n">
        <v>61394524000</v>
      </c>
      <c r="C23" s="28"/>
      <c r="D23" s="28"/>
      <c r="E23" s="28"/>
      <c r="F23" s="28"/>
      <c r="G23" s="28"/>
      <c r="H23" s="28"/>
      <c r="I23" s="4" t="s">
        <v>486</v>
      </c>
      <c r="J23" s="28" t="n">
        <v>710905</v>
      </c>
      <c r="K23" s="4" t="s">
        <v>489</v>
      </c>
      <c r="L23" s="4" t="s">
        <v>488</v>
      </c>
      <c r="M23" s="42" t="n">
        <v>1</v>
      </c>
      <c r="N23" s="28" t="n">
        <v>61394524000</v>
      </c>
      <c r="O23" s="28"/>
      <c r="P23" s="28"/>
      <c r="Q23" s="28"/>
      <c r="R23" s="28"/>
      <c r="S23" s="28"/>
      <c r="T23" s="28"/>
      <c r="U23" s="42" t="n">
        <v>8.3688</v>
      </c>
      <c r="V23" s="42" t="n">
        <v>3.5832</v>
      </c>
      <c r="W23" s="42" t="n">
        <v>112.0549</v>
      </c>
      <c r="X23" s="42" t="n">
        <v>86361.0806</v>
      </c>
      <c r="Y23" s="42" t="n">
        <v>86361.0806</v>
      </c>
      <c r="Z23" s="42"/>
      <c r="AA23" s="42"/>
      <c r="AB23" s="42"/>
      <c r="AC23" s="42"/>
      <c r="AD23" s="42"/>
      <c r="AE23" s="42" t="n">
        <v>1.06</v>
      </c>
      <c r="AF23" s="42" t="n">
        <v>31.72</v>
      </c>
      <c r="AG23" s="42" t="n">
        <v>48.85</v>
      </c>
      <c r="AH23" s="42" t="n">
        <v>0.56</v>
      </c>
      <c r="AI23" s="42" t="n">
        <v>1.78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25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40" t="s">
        <v>252</v>
      </c>
      <c r="B1" s="40" t="s">
        <v>490</v>
      </c>
      <c r="C1" s="40" t="s">
        <v>491</v>
      </c>
      <c r="D1" s="40" t="s">
        <v>492</v>
      </c>
      <c r="E1" s="40" t="s">
        <v>493</v>
      </c>
      <c r="F1" s="40" t="s">
        <v>494</v>
      </c>
      <c r="G1" s="40" t="s">
        <v>284</v>
      </c>
    </row>
    <row r="2" customFormat="false" ht="15" hidden="false" customHeight="false" outlineLevel="0" collapsed="false">
      <c r="A2" s="4" t="n">
        <v>2002</v>
      </c>
      <c r="B2" s="4" t="s">
        <v>263</v>
      </c>
      <c r="C2" s="4" t="s">
        <v>495</v>
      </c>
      <c r="D2" s="28" t="n">
        <v>734666000</v>
      </c>
      <c r="E2" s="28" t="n">
        <v>2439844263.2462</v>
      </c>
      <c r="F2" s="4" t="n">
        <v>6.5736</v>
      </c>
      <c r="G2" s="4"/>
    </row>
    <row r="3" customFormat="false" ht="15" hidden="false" customHeight="false" outlineLevel="0" collapsed="false">
      <c r="A3" s="4" t="n">
        <v>2003</v>
      </c>
      <c r="B3" s="4" t="s">
        <v>263</v>
      </c>
      <c r="C3" s="4" t="s">
        <v>495</v>
      </c>
      <c r="D3" s="28" t="n">
        <v>836036000</v>
      </c>
      <c r="E3" s="28" t="n">
        <v>2540253049.1824</v>
      </c>
      <c r="F3" s="4" t="n">
        <v>6.1194</v>
      </c>
      <c r="G3" s="4" t="n">
        <v>4.1154</v>
      </c>
    </row>
    <row r="4" customFormat="false" ht="15" hidden="false" customHeight="false" outlineLevel="0" collapsed="false">
      <c r="A4" s="4" t="n">
        <v>2004</v>
      </c>
      <c r="B4" s="4" t="s">
        <v>263</v>
      </c>
      <c r="C4" s="4" t="s">
        <v>495</v>
      </c>
      <c r="D4" s="28" t="n">
        <v>876777000</v>
      </c>
      <c r="E4" s="28" t="n">
        <v>2475875942.9</v>
      </c>
      <c r="F4" s="4" t="n">
        <v>5.5782</v>
      </c>
      <c r="G4" s="4" t="n">
        <v>-2.5343</v>
      </c>
    </row>
    <row r="5" customFormat="false" ht="15" hidden="false" customHeight="false" outlineLevel="0" collapsed="false">
      <c r="A5" s="4" t="n">
        <v>2005</v>
      </c>
      <c r="B5" s="4" t="s">
        <v>263</v>
      </c>
      <c r="C5" s="4" t="s">
        <v>495</v>
      </c>
      <c r="D5" s="28" t="n">
        <v>1009464000</v>
      </c>
      <c r="E5" s="28" t="n">
        <v>2697097639.479</v>
      </c>
      <c r="F5" s="4" t="n">
        <v>6.3955</v>
      </c>
      <c r="G5" s="4" t="n">
        <v>8.9351</v>
      </c>
    </row>
    <row r="6" customFormat="false" ht="15" hidden="false" customHeight="false" outlineLevel="0" collapsed="false">
      <c r="A6" s="4" t="n">
        <v>2006</v>
      </c>
      <c r="B6" s="4" t="s">
        <v>263</v>
      </c>
      <c r="C6" s="4" t="s">
        <v>495</v>
      </c>
      <c r="D6" s="28" t="n">
        <v>1125660000</v>
      </c>
      <c r="E6" s="28" t="n">
        <v>2915989394.8238</v>
      </c>
      <c r="F6" s="4" t="n">
        <v>6.9812</v>
      </c>
      <c r="G6" s="4" t="n">
        <v>8.1158</v>
      </c>
    </row>
    <row r="7" customFormat="false" ht="15" hidden="false" customHeight="false" outlineLevel="0" collapsed="false">
      <c r="A7" s="4" t="n">
        <v>2007</v>
      </c>
      <c r="B7" s="4" t="s">
        <v>263</v>
      </c>
      <c r="C7" s="4" t="s">
        <v>495</v>
      </c>
      <c r="D7" s="28" t="n">
        <v>1201085000</v>
      </c>
      <c r="E7" s="28" t="n">
        <v>2978533081.7522</v>
      </c>
      <c r="F7" s="4" t="n">
        <v>6.3626</v>
      </c>
      <c r="G7" s="4" t="n">
        <v>2.1449</v>
      </c>
    </row>
    <row r="8" customFormat="false" ht="15" hidden="false" customHeight="false" outlineLevel="0" collapsed="false">
      <c r="A8" s="4" t="n">
        <v>2008</v>
      </c>
      <c r="B8" s="4" t="s">
        <v>263</v>
      </c>
      <c r="C8" s="4" t="s">
        <v>495</v>
      </c>
      <c r="D8" s="28" t="n">
        <v>1318909000</v>
      </c>
      <c r="E8" s="28" t="n">
        <v>3088499650.531</v>
      </c>
      <c r="F8" s="4" t="n">
        <v>6.2283</v>
      </c>
      <c r="G8" s="4" t="n">
        <v>3.692</v>
      </c>
    </row>
    <row r="9" customFormat="false" ht="15" hidden="false" customHeight="false" outlineLevel="0" collapsed="false">
      <c r="A9" s="4" t="n">
        <v>2009</v>
      </c>
      <c r="B9" s="4" t="s">
        <v>263</v>
      </c>
      <c r="C9" s="4" t="s">
        <v>495</v>
      </c>
      <c r="D9" s="28" t="n">
        <v>1553472000</v>
      </c>
      <c r="E9" s="28" t="n">
        <v>3487467822.1417</v>
      </c>
      <c r="F9" s="4" t="n">
        <v>7.2885</v>
      </c>
      <c r="G9" s="4" t="n">
        <v>12.9179</v>
      </c>
    </row>
    <row r="10" customFormat="false" ht="15" hidden="false" customHeight="false" outlineLevel="0" collapsed="false">
      <c r="A10" s="4" t="n">
        <v>2010</v>
      </c>
      <c r="B10" s="4" t="s">
        <v>263</v>
      </c>
      <c r="C10" s="4" t="s">
        <v>495</v>
      </c>
      <c r="D10" s="28" t="n">
        <v>1629690000</v>
      </c>
      <c r="E10" s="28" t="n">
        <v>3454417395.1723</v>
      </c>
      <c r="F10" s="4" t="n">
        <v>7.4489</v>
      </c>
      <c r="G10" s="4" t="n">
        <v>-0.9477</v>
      </c>
    </row>
    <row r="11" customFormat="false" ht="15" hidden="false" customHeight="false" outlineLevel="0" collapsed="false">
      <c r="A11" s="4" t="n">
        <v>2011</v>
      </c>
      <c r="B11" s="4" t="s">
        <v>263</v>
      </c>
      <c r="C11" s="4" t="s">
        <v>495</v>
      </c>
      <c r="D11" s="28" t="n">
        <v>1698898000</v>
      </c>
      <c r="E11" s="28" t="n">
        <v>3381329617.6714</v>
      </c>
      <c r="F11" s="4" t="n">
        <v>7.9879</v>
      </c>
      <c r="G11" s="4" t="n">
        <v>-2.1158</v>
      </c>
    </row>
    <row r="12" customFormat="false" ht="15" hidden="false" customHeight="false" outlineLevel="0" collapsed="false">
      <c r="A12" s="4" t="n">
        <v>2012</v>
      </c>
      <c r="B12" s="4" t="s">
        <v>263</v>
      </c>
      <c r="C12" s="4" t="s">
        <v>495</v>
      </c>
      <c r="D12" s="28" t="n">
        <v>1834294000</v>
      </c>
      <c r="E12" s="28" t="n">
        <v>3449366314.0662</v>
      </c>
      <c r="F12" s="4" t="n">
        <v>8.3628</v>
      </c>
      <c r="G12" s="4" t="n">
        <v>2.0121</v>
      </c>
    </row>
    <row r="13" customFormat="false" ht="15" hidden="false" customHeight="false" outlineLevel="0" collapsed="false">
      <c r="A13" s="4" t="n">
        <v>2013</v>
      </c>
      <c r="B13" s="4" t="s">
        <v>263</v>
      </c>
      <c r="C13" s="4" t="s">
        <v>495</v>
      </c>
      <c r="D13" s="28" t="n">
        <v>2182790000</v>
      </c>
      <c r="E13" s="28" t="n">
        <v>3875657225.2514</v>
      </c>
      <c r="F13" s="4" t="n">
        <v>9.3408</v>
      </c>
      <c r="G13" s="4" t="n">
        <v>12.3585</v>
      </c>
    </row>
    <row r="14" customFormat="false" ht="15" hidden="false" customHeight="false" outlineLevel="0" collapsed="false">
      <c r="A14" s="4" t="n">
        <v>2014</v>
      </c>
      <c r="B14" s="4" t="s">
        <v>263</v>
      </c>
      <c r="C14" s="4" t="s">
        <v>495</v>
      </c>
      <c r="D14" s="28" t="n">
        <v>2322353000</v>
      </c>
      <c r="E14" s="28" t="n">
        <v>3875066811.2337</v>
      </c>
      <c r="F14" s="4" t="n">
        <v>9.0606</v>
      </c>
      <c r="G14" s="4" t="n">
        <v>-0.0152</v>
      </c>
    </row>
    <row r="15" customFormat="false" ht="15" hidden="false" customHeight="false" outlineLevel="0" collapsed="false">
      <c r="A15" s="4" t="n">
        <v>2015</v>
      </c>
      <c r="B15" s="4" t="s">
        <v>263</v>
      </c>
      <c r="C15" s="4" t="s">
        <v>495</v>
      </c>
      <c r="D15" s="28" t="n">
        <v>2534714000</v>
      </c>
      <c r="E15" s="28" t="n">
        <v>3821642118.8898</v>
      </c>
      <c r="F15" s="4" t="n">
        <v>8.7978</v>
      </c>
      <c r="G15" s="4" t="n">
        <v>-1.3787</v>
      </c>
    </row>
    <row r="16" customFormat="false" ht="15" hidden="false" customHeight="false" outlineLevel="0" collapsed="false">
      <c r="A16" s="4" t="n">
        <v>2016</v>
      </c>
      <c r="B16" s="4" t="s">
        <v>263</v>
      </c>
      <c r="C16" s="4" t="s">
        <v>495</v>
      </c>
      <c r="D16" s="28" t="n">
        <v>2576560000</v>
      </c>
      <c r="E16" s="28" t="n">
        <v>3654844502.4281</v>
      </c>
      <c r="F16" s="4" t="n">
        <v>7.0497</v>
      </c>
      <c r="G16" s="4" t="n">
        <v>-4.3646</v>
      </c>
    </row>
    <row r="17" customFormat="false" ht="15" hidden="false" customHeight="false" outlineLevel="0" collapsed="false">
      <c r="A17" s="4" t="n">
        <v>2017</v>
      </c>
      <c r="B17" s="4" t="s">
        <v>263</v>
      </c>
      <c r="C17" s="4" t="s">
        <v>495</v>
      </c>
      <c r="D17" s="28" t="n">
        <v>2589199000</v>
      </c>
      <c r="E17" s="28" t="n">
        <v>3567530738.4114</v>
      </c>
      <c r="F17" s="4" t="n">
        <v>7.4931</v>
      </c>
      <c r="G17" s="4" t="n">
        <v>-2.389</v>
      </c>
    </row>
    <row r="18" customFormat="false" ht="15" hidden="false" customHeight="false" outlineLevel="0" collapsed="false">
      <c r="A18" s="4" t="n">
        <v>2018</v>
      </c>
      <c r="B18" s="4" t="s">
        <v>263</v>
      </c>
      <c r="C18" s="4" t="s">
        <v>495</v>
      </c>
      <c r="D18" s="28" t="n">
        <v>2663940000</v>
      </c>
      <c r="E18" s="28" t="n">
        <v>3537843574.8108</v>
      </c>
      <c r="F18" s="4" t="n">
        <v>7.7463</v>
      </c>
      <c r="G18" s="4" t="n">
        <v>-0.8321</v>
      </c>
    </row>
    <row r="19" customFormat="false" ht="15" hidden="false" customHeight="false" outlineLevel="0" collapsed="false">
      <c r="A19" s="4" t="n">
        <v>2019</v>
      </c>
      <c r="B19" s="4" t="s">
        <v>263</v>
      </c>
      <c r="C19" s="4" t="s">
        <v>495</v>
      </c>
      <c r="D19" s="28" t="n">
        <v>2722133000</v>
      </c>
      <c r="E19" s="28" t="n">
        <v>3465752800.3396</v>
      </c>
      <c r="F19" s="4" t="n">
        <v>7.1688</v>
      </c>
      <c r="G19" s="4" t="n">
        <v>-2.0377</v>
      </c>
    </row>
    <row r="20" customFormat="false" ht="15" hidden="false" customHeight="false" outlineLevel="0" collapsed="false">
      <c r="A20" s="4" t="n">
        <v>2020</v>
      </c>
      <c r="B20" s="4" t="s">
        <v>263</v>
      </c>
      <c r="C20" s="4" t="s">
        <v>495</v>
      </c>
      <c r="D20" s="28" t="n">
        <v>2759788000</v>
      </c>
      <c r="E20" s="28" t="n">
        <v>3361743417.9398</v>
      </c>
      <c r="F20" s="4" t="n">
        <v>8.0186</v>
      </c>
      <c r="G20" s="4" t="n">
        <v>-3.0011</v>
      </c>
    </row>
    <row r="21" customFormat="false" ht="15" hidden="false" customHeight="false" outlineLevel="0" collapsed="false">
      <c r="A21" s="4" t="n">
        <v>2021</v>
      </c>
      <c r="B21" s="4" t="s">
        <v>263</v>
      </c>
      <c r="C21" s="4" t="s">
        <v>495</v>
      </c>
      <c r="D21" s="28" t="n">
        <v>2884819000</v>
      </c>
      <c r="E21" s="28" t="n">
        <v>3192845491.0286</v>
      </c>
      <c r="F21" s="4" t="n">
        <v>7.4298</v>
      </c>
      <c r="G21" s="4" t="n">
        <v>-5.0241</v>
      </c>
    </row>
    <row r="22" customFormat="false" ht="15" hidden="false" customHeight="false" outlineLevel="0" collapsed="false">
      <c r="A22" s="4" t="n">
        <v>2002</v>
      </c>
      <c r="B22" s="4" t="s">
        <v>459</v>
      </c>
      <c r="C22" s="4" t="s">
        <v>134</v>
      </c>
      <c r="D22" s="28" t="n">
        <v>7360000</v>
      </c>
      <c r="E22" s="28" t="n">
        <v>24442745.108</v>
      </c>
      <c r="F22" s="4" t="n">
        <v>0.0659</v>
      </c>
      <c r="G22" s="4"/>
    </row>
    <row r="23" customFormat="false" ht="15" hidden="false" customHeight="false" outlineLevel="0" collapsed="false">
      <c r="A23" s="4" t="n">
        <v>2003</v>
      </c>
      <c r="B23" s="4" t="s">
        <v>459</v>
      </c>
      <c r="C23" s="4" t="s">
        <v>134</v>
      </c>
      <c r="D23" s="28" t="n">
        <v>15914000</v>
      </c>
      <c r="E23" s="28" t="n">
        <v>48353883.1159</v>
      </c>
      <c r="F23" s="4" t="n">
        <v>0.1165</v>
      </c>
      <c r="G23" s="4" t="n">
        <v>97.8251</v>
      </c>
    </row>
    <row r="24" customFormat="false" ht="15" hidden="false" customHeight="false" outlineLevel="0" collapsed="false">
      <c r="A24" s="4" t="n">
        <v>2004</v>
      </c>
      <c r="B24" s="4" t="s">
        <v>459</v>
      </c>
      <c r="C24" s="4" t="s">
        <v>134</v>
      </c>
      <c r="D24" s="28" t="n">
        <v>17861000</v>
      </c>
      <c r="E24" s="28" t="n">
        <v>50436565.0743</v>
      </c>
      <c r="F24" s="4" t="n">
        <v>0.1136</v>
      </c>
      <c r="G24" s="4" t="n">
        <v>4.3072</v>
      </c>
    </row>
    <row r="25" customFormat="false" ht="15" hidden="false" customHeight="false" outlineLevel="0" collapsed="false">
      <c r="A25" s="4" t="n">
        <v>2005</v>
      </c>
      <c r="B25" s="4" t="s">
        <v>459</v>
      </c>
      <c r="C25" s="4" t="s">
        <v>134</v>
      </c>
      <c r="D25" s="28" t="n">
        <v>13480000</v>
      </c>
      <c r="E25" s="28" t="n">
        <v>36016020.5616</v>
      </c>
      <c r="F25" s="4" t="n">
        <v>0.0854</v>
      </c>
      <c r="G25" s="4" t="n">
        <v>-28.5914</v>
      </c>
    </row>
    <row r="26" customFormat="false" ht="15" hidden="false" customHeight="false" outlineLevel="0" collapsed="false">
      <c r="A26" s="4" t="n">
        <v>2006</v>
      </c>
      <c r="B26" s="4" t="s">
        <v>459</v>
      </c>
      <c r="C26" s="4" t="s">
        <v>134</v>
      </c>
      <c r="D26" s="28" t="n">
        <v>14371000</v>
      </c>
      <c r="E26" s="28" t="n">
        <v>37227656.3021</v>
      </c>
      <c r="F26" s="4" t="n">
        <v>0.0891</v>
      </c>
      <c r="G26" s="4" t="n">
        <v>3.3642</v>
      </c>
    </row>
    <row r="27" customFormat="false" ht="15" hidden="false" customHeight="false" outlineLevel="0" collapsed="false">
      <c r="A27" s="4" t="n">
        <v>2007</v>
      </c>
      <c r="B27" s="4" t="s">
        <v>459</v>
      </c>
      <c r="C27" s="4" t="s">
        <v>134</v>
      </c>
      <c r="D27" s="28" t="n">
        <v>16963000</v>
      </c>
      <c r="E27" s="28" t="n">
        <v>42066012.5351</v>
      </c>
      <c r="F27" s="4" t="n">
        <v>0.0899</v>
      </c>
      <c r="G27" s="4" t="n">
        <v>12.9967</v>
      </c>
    </row>
    <row r="28" customFormat="false" ht="15" hidden="false" customHeight="false" outlineLevel="0" collapsed="false">
      <c r="A28" s="4" t="n">
        <v>2008</v>
      </c>
      <c r="B28" s="4" t="s">
        <v>459</v>
      </c>
      <c r="C28" s="4" t="s">
        <v>134</v>
      </c>
      <c r="D28" s="28" t="n">
        <v>14394000</v>
      </c>
      <c r="E28" s="28" t="n">
        <v>33706543.7947</v>
      </c>
      <c r="F28" s="4" t="n">
        <v>0.068</v>
      </c>
      <c r="G28" s="4" t="n">
        <v>-19.8723</v>
      </c>
    </row>
    <row r="29" customFormat="false" ht="15" hidden="false" customHeight="false" outlineLevel="0" collapsed="false">
      <c r="A29" s="4" t="n">
        <v>2009</v>
      </c>
      <c r="B29" s="4" t="s">
        <v>459</v>
      </c>
      <c r="C29" s="4" t="s">
        <v>134</v>
      </c>
      <c r="D29" s="28" t="n">
        <v>18169000</v>
      </c>
      <c r="E29" s="28" t="n">
        <v>40788506.5585</v>
      </c>
      <c r="F29" s="4" t="n">
        <v>0.0852</v>
      </c>
      <c r="G29" s="4" t="n">
        <v>21.0106</v>
      </c>
    </row>
    <row r="30" customFormat="false" ht="15" hidden="false" customHeight="false" outlineLevel="0" collapsed="false">
      <c r="A30" s="4" t="n">
        <v>2010</v>
      </c>
      <c r="B30" s="4" t="s">
        <v>459</v>
      </c>
      <c r="C30" s="4" t="s">
        <v>134</v>
      </c>
      <c r="D30" s="28" t="n">
        <v>18720000</v>
      </c>
      <c r="E30" s="28" t="n">
        <v>39680364.755</v>
      </c>
      <c r="F30" s="4" t="n">
        <v>0.0856</v>
      </c>
      <c r="G30" s="4" t="n">
        <v>-2.7168</v>
      </c>
    </row>
    <row r="31" customFormat="false" ht="15" hidden="false" customHeight="false" outlineLevel="0" collapsed="false">
      <c r="A31" s="4" t="n">
        <v>2011</v>
      </c>
      <c r="B31" s="4" t="s">
        <v>459</v>
      </c>
      <c r="C31" s="4" t="s">
        <v>134</v>
      </c>
      <c r="D31" s="28" t="n">
        <v>15494000</v>
      </c>
      <c r="E31" s="28" t="n">
        <v>30837826.1062</v>
      </c>
      <c r="F31" s="4" t="n">
        <v>0.0728</v>
      </c>
      <c r="G31" s="4" t="n">
        <v>-22.2844</v>
      </c>
    </row>
    <row r="32" customFormat="false" ht="15" hidden="false" customHeight="false" outlineLevel="0" collapsed="false">
      <c r="A32" s="4" t="n">
        <v>2012</v>
      </c>
      <c r="B32" s="4" t="s">
        <v>459</v>
      </c>
      <c r="C32" s="4" t="s">
        <v>134</v>
      </c>
      <c r="D32" s="28" t="n">
        <v>16121000</v>
      </c>
      <c r="E32" s="28" t="n">
        <v>30315333.5011</v>
      </c>
      <c r="F32" s="4" t="n">
        <v>0.0735</v>
      </c>
      <c r="G32" s="4" t="n">
        <v>-1.6943</v>
      </c>
    </row>
    <row r="33" customFormat="false" ht="15" hidden="false" customHeight="false" outlineLevel="0" collapsed="false">
      <c r="A33" s="4" t="n">
        <v>2013</v>
      </c>
      <c r="B33" s="4" t="s">
        <v>459</v>
      </c>
      <c r="C33" s="4" t="s">
        <v>134</v>
      </c>
      <c r="D33" s="28" t="n">
        <v>22714000</v>
      </c>
      <c r="E33" s="28" t="n">
        <v>40329888.9102</v>
      </c>
      <c r="F33" s="4" t="n">
        <v>0.0972</v>
      </c>
      <c r="G33" s="4" t="n">
        <v>33.0346</v>
      </c>
    </row>
    <row r="34" customFormat="false" ht="15" hidden="false" customHeight="false" outlineLevel="0" collapsed="false">
      <c r="A34" s="4" t="n">
        <v>2014</v>
      </c>
      <c r="B34" s="4" t="s">
        <v>459</v>
      </c>
      <c r="C34" s="4" t="s">
        <v>134</v>
      </c>
      <c r="D34" s="28" t="n">
        <v>12442000</v>
      </c>
      <c r="E34" s="28" t="n">
        <v>20760660.1001</v>
      </c>
      <c r="F34" s="4" t="n">
        <v>0.0485</v>
      </c>
      <c r="G34" s="4" t="n">
        <v>-48.5229</v>
      </c>
    </row>
    <row r="35" customFormat="false" ht="15" hidden="false" customHeight="false" outlineLevel="0" collapsed="false">
      <c r="A35" s="4" t="n">
        <v>2015</v>
      </c>
      <c r="B35" s="4" t="s">
        <v>459</v>
      </c>
      <c r="C35" s="4" t="s">
        <v>134</v>
      </c>
      <c r="D35" s="28" t="n">
        <v>13943000</v>
      </c>
      <c r="E35" s="28" t="n">
        <v>21022157.16</v>
      </c>
      <c r="F35" s="4" t="n">
        <v>0.0484</v>
      </c>
      <c r="G35" s="4" t="n">
        <v>1.2596</v>
      </c>
    </row>
    <row r="36" customFormat="false" ht="15" hidden="false" customHeight="false" outlineLevel="0" collapsed="false">
      <c r="A36" s="4" t="n">
        <v>2016</v>
      </c>
      <c r="B36" s="4" t="s">
        <v>459</v>
      </c>
      <c r="C36" s="4" t="s">
        <v>134</v>
      </c>
      <c r="D36" s="28" t="n">
        <v>17142000</v>
      </c>
      <c r="E36" s="28" t="n">
        <v>24315888.0292</v>
      </c>
      <c r="F36" s="4" t="n">
        <v>0.0469</v>
      </c>
      <c r="G36" s="4" t="n">
        <v>15.6679</v>
      </c>
    </row>
    <row r="37" customFormat="false" ht="15" hidden="false" customHeight="false" outlineLevel="0" collapsed="false">
      <c r="A37" s="4" t="n">
        <v>2017</v>
      </c>
      <c r="B37" s="4" t="s">
        <v>459</v>
      </c>
      <c r="C37" s="4" t="s">
        <v>134</v>
      </c>
      <c r="D37" s="28" t="n">
        <v>16413000</v>
      </c>
      <c r="E37" s="28" t="n">
        <v>22614670.4095</v>
      </c>
      <c r="F37" s="4" t="n">
        <v>0.0475</v>
      </c>
      <c r="G37" s="4" t="n">
        <v>-6.9963</v>
      </c>
    </row>
    <row r="38" customFormat="false" ht="15" hidden="false" customHeight="false" outlineLevel="0" collapsed="false">
      <c r="A38" s="4" t="n">
        <v>2018</v>
      </c>
      <c r="B38" s="4" t="s">
        <v>459</v>
      </c>
      <c r="C38" s="4" t="s">
        <v>134</v>
      </c>
      <c r="D38" s="28" t="n">
        <v>15263000</v>
      </c>
      <c r="E38" s="28" t="n">
        <v>20270016.0223</v>
      </c>
      <c r="F38" s="4" t="n">
        <v>0.0444</v>
      </c>
      <c r="G38" s="4" t="n">
        <v>-10.3678</v>
      </c>
    </row>
    <row r="39" customFormat="false" ht="15" hidden="false" customHeight="false" outlineLevel="0" collapsed="false">
      <c r="A39" s="4" t="n">
        <v>2019</v>
      </c>
      <c r="B39" s="4" t="s">
        <v>459</v>
      </c>
      <c r="C39" s="4" t="s">
        <v>134</v>
      </c>
      <c r="D39" s="28" t="n">
        <v>14761000</v>
      </c>
      <c r="E39" s="28" t="n">
        <v>18793342.2378</v>
      </c>
      <c r="F39" s="4" t="n">
        <v>0.0389</v>
      </c>
      <c r="G39" s="4" t="n">
        <v>-7.285</v>
      </c>
    </row>
    <row r="40" customFormat="false" ht="15" hidden="false" customHeight="false" outlineLevel="0" collapsed="false">
      <c r="A40" s="4" t="n">
        <v>2020</v>
      </c>
      <c r="B40" s="4" t="s">
        <v>459</v>
      </c>
      <c r="C40" s="4" t="s">
        <v>134</v>
      </c>
      <c r="D40" s="28" t="n">
        <v>21291000</v>
      </c>
      <c r="E40" s="28" t="n">
        <v>25934919.3168</v>
      </c>
      <c r="F40" s="4" t="n">
        <v>0.0619</v>
      </c>
      <c r="G40" s="4" t="n">
        <v>38.0006</v>
      </c>
    </row>
    <row r="41" customFormat="false" ht="15" hidden="false" customHeight="false" outlineLevel="0" collapsed="false">
      <c r="A41" s="4" t="n">
        <v>2021</v>
      </c>
      <c r="B41" s="4" t="s">
        <v>459</v>
      </c>
      <c r="C41" s="4" t="s">
        <v>134</v>
      </c>
      <c r="D41" s="28" t="n">
        <v>25504000</v>
      </c>
      <c r="E41" s="28" t="n">
        <v>28227189.0899</v>
      </c>
      <c r="F41" s="4" t="n">
        <v>0.0657</v>
      </c>
      <c r="G41" s="4" t="n">
        <v>8.8385</v>
      </c>
    </row>
    <row r="42" customFormat="false" ht="15" hidden="false" customHeight="false" outlineLevel="0" collapsed="false">
      <c r="A42" s="4" t="n">
        <v>2002</v>
      </c>
      <c r="B42" s="4" t="s">
        <v>460</v>
      </c>
      <c r="C42" s="4" t="s">
        <v>135</v>
      </c>
      <c r="D42" s="28" t="n">
        <v>5894792000</v>
      </c>
      <c r="E42" s="28" t="n">
        <v>19576752489.1986</v>
      </c>
      <c r="F42" s="4" t="n">
        <v>52.7449</v>
      </c>
      <c r="G42" s="4"/>
    </row>
    <row r="43" customFormat="false" ht="15" hidden="false" customHeight="false" outlineLevel="0" collapsed="false">
      <c r="A43" s="4" t="n">
        <v>2003</v>
      </c>
      <c r="B43" s="4" t="s">
        <v>460</v>
      </c>
      <c r="C43" s="4" t="s">
        <v>135</v>
      </c>
      <c r="D43" s="28" t="n">
        <v>7686678000</v>
      </c>
      <c r="E43" s="28" t="n">
        <v>23355581850.0441</v>
      </c>
      <c r="F43" s="4" t="n">
        <v>56.2629</v>
      </c>
      <c r="G43" s="4" t="n">
        <v>19.3026</v>
      </c>
    </row>
    <row r="44" customFormat="false" ht="15" hidden="false" customHeight="false" outlineLevel="0" collapsed="false">
      <c r="A44" s="4" t="n">
        <v>2004</v>
      </c>
      <c r="B44" s="4" t="s">
        <v>460</v>
      </c>
      <c r="C44" s="4" t="s">
        <v>135</v>
      </c>
      <c r="D44" s="28" t="n">
        <v>9276760000</v>
      </c>
      <c r="E44" s="28" t="n">
        <v>26196064577.4889</v>
      </c>
      <c r="F44" s="4" t="n">
        <v>59.0208</v>
      </c>
      <c r="G44" s="4" t="n">
        <v>12.1619</v>
      </c>
    </row>
    <row r="45" customFormat="false" ht="15" hidden="false" customHeight="false" outlineLevel="0" collapsed="false">
      <c r="A45" s="4" t="n">
        <v>2005</v>
      </c>
      <c r="B45" s="4" t="s">
        <v>460</v>
      </c>
      <c r="C45" s="4" t="s">
        <v>135</v>
      </c>
      <c r="D45" s="28" t="n">
        <v>8726268000</v>
      </c>
      <c r="E45" s="28" t="n">
        <v>23314944192.4241</v>
      </c>
      <c r="F45" s="4" t="n">
        <v>55.2855</v>
      </c>
      <c r="G45" s="4" t="n">
        <v>-10.9983</v>
      </c>
    </row>
    <row r="46" customFormat="false" ht="15" hidden="false" customHeight="false" outlineLevel="0" collapsed="false">
      <c r="A46" s="4" t="n">
        <v>2006</v>
      </c>
      <c r="B46" s="4" t="s">
        <v>460</v>
      </c>
      <c r="C46" s="4" t="s">
        <v>135</v>
      </c>
      <c r="D46" s="28" t="n">
        <v>8428423000</v>
      </c>
      <c r="E46" s="28" t="n">
        <v>21833583926.842</v>
      </c>
      <c r="F46" s="4" t="n">
        <v>52.2718</v>
      </c>
      <c r="G46" s="4" t="n">
        <v>-6.3537</v>
      </c>
    </row>
    <row r="47" customFormat="false" ht="15" hidden="false" customHeight="false" outlineLevel="0" collapsed="false">
      <c r="A47" s="4" t="n">
        <v>2007</v>
      </c>
      <c r="B47" s="4" t="s">
        <v>460</v>
      </c>
      <c r="C47" s="4" t="s">
        <v>135</v>
      </c>
      <c r="D47" s="28" t="n">
        <v>10386034000</v>
      </c>
      <c r="E47" s="28" t="n">
        <v>25756000497.2201</v>
      </c>
      <c r="F47" s="4" t="n">
        <v>55.0185</v>
      </c>
      <c r="G47" s="4" t="n">
        <v>17.9651</v>
      </c>
    </row>
    <row r="48" customFormat="false" ht="15" hidden="false" customHeight="false" outlineLevel="0" collapsed="false">
      <c r="A48" s="4" t="n">
        <v>2008</v>
      </c>
      <c r="B48" s="4" t="s">
        <v>460</v>
      </c>
      <c r="C48" s="4" t="s">
        <v>135</v>
      </c>
      <c r="D48" s="28" t="n">
        <v>11605818000</v>
      </c>
      <c r="E48" s="28" t="n">
        <v>27177435924.03</v>
      </c>
      <c r="F48" s="4" t="n">
        <v>54.8066</v>
      </c>
      <c r="G48" s="4" t="n">
        <v>5.5189</v>
      </c>
    </row>
    <row r="49" customFormat="false" ht="15" hidden="false" customHeight="false" outlineLevel="0" collapsed="false">
      <c r="A49" s="4" t="n">
        <v>2009</v>
      </c>
      <c r="B49" s="4" t="s">
        <v>460</v>
      </c>
      <c r="C49" s="4" t="s">
        <v>135</v>
      </c>
      <c r="D49" s="28" t="n">
        <v>10864657000</v>
      </c>
      <c r="E49" s="28" t="n">
        <v>24390617717.0279</v>
      </c>
      <c r="F49" s="4" t="n">
        <v>50.9746</v>
      </c>
      <c r="G49" s="4" t="n">
        <v>-10.2542</v>
      </c>
    </row>
    <row r="50" customFormat="false" ht="15" hidden="false" customHeight="false" outlineLevel="0" collapsed="false">
      <c r="A50" s="4" t="n">
        <v>2010</v>
      </c>
      <c r="B50" s="4" t="s">
        <v>460</v>
      </c>
      <c r="C50" s="4" t="s">
        <v>135</v>
      </c>
      <c r="D50" s="28" t="n">
        <v>10619747000</v>
      </c>
      <c r="E50" s="28" t="n">
        <v>22510439880.6698</v>
      </c>
      <c r="F50" s="4" t="n">
        <v>48.5399</v>
      </c>
      <c r="G50" s="4" t="n">
        <v>-7.7086</v>
      </c>
    </row>
    <row r="51" customFormat="false" ht="15" hidden="false" customHeight="false" outlineLevel="0" collapsed="false">
      <c r="A51" s="4" t="n">
        <v>2011</v>
      </c>
      <c r="B51" s="4" t="s">
        <v>460</v>
      </c>
      <c r="C51" s="4" t="s">
        <v>135</v>
      </c>
      <c r="D51" s="28" t="n">
        <v>8615541000</v>
      </c>
      <c r="E51" s="28" t="n">
        <v>17147576814.8308</v>
      </c>
      <c r="F51" s="4" t="n">
        <v>40.5087</v>
      </c>
      <c r="G51" s="4" t="n">
        <v>-23.8239</v>
      </c>
    </row>
    <row r="52" customFormat="false" ht="15" hidden="false" customHeight="false" outlineLevel="0" collapsed="false">
      <c r="A52" s="4" t="n">
        <v>2012</v>
      </c>
      <c r="B52" s="4" t="s">
        <v>460</v>
      </c>
      <c r="C52" s="4" t="s">
        <v>135</v>
      </c>
      <c r="D52" s="28" t="n">
        <v>7790492000</v>
      </c>
      <c r="E52" s="28" t="n">
        <v>14649920173.5394</v>
      </c>
      <c r="F52" s="4" t="n">
        <v>35.5178</v>
      </c>
      <c r="G52" s="4" t="n">
        <v>-14.5657</v>
      </c>
    </row>
    <row r="53" customFormat="false" ht="15" hidden="false" customHeight="false" outlineLevel="0" collapsed="false">
      <c r="A53" s="4" t="n">
        <v>2013</v>
      </c>
      <c r="B53" s="4" t="s">
        <v>460</v>
      </c>
      <c r="C53" s="4" t="s">
        <v>135</v>
      </c>
      <c r="D53" s="28" t="n">
        <v>7537678000</v>
      </c>
      <c r="E53" s="28" t="n">
        <v>13383539507.8404</v>
      </c>
      <c r="F53" s="4" t="n">
        <v>32.2561</v>
      </c>
      <c r="G53" s="4" t="n">
        <v>-8.6443</v>
      </c>
    </row>
    <row r="54" customFormat="false" ht="15" hidden="false" customHeight="false" outlineLevel="0" collapsed="false">
      <c r="A54" s="4" t="n">
        <v>2014</v>
      </c>
      <c r="B54" s="4" t="s">
        <v>460</v>
      </c>
      <c r="C54" s="4" t="s">
        <v>135</v>
      </c>
      <c r="D54" s="28" t="n">
        <v>8739559000</v>
      </c>
      <c r="E54" s="28" t="n">
        <v>14582785229.3422</v>
      </c>
      <c r="F54" s="4" t="n">
        <v>34.0973</v>
      </c>
      <c r="G54" s="4" t="n">
        <v>8.9606</v>
      </c>
    </row>
    <row r="55" customFormat="false" ht="15" hidden="false" customHeight="false" outlineLevel="0" collapsed="false">
      <c r="A55" s="4" t="n">
        <v>2015</v>
      </c>
      <c r="B55" s="4" t="s">
        <v>460</v>
      </c>
      <c r="C55" s="4" t="s">
        <v>135</v>
      </c>
      <c r="D55" s="28" t="n">
        <v>10899692000</v>
      </c>
      <c r="E55" s="28" t="n">
        <v>16433697068.0426</v>
      </c>
      <c r="F55" s="4" t="n">
        <v>37.832</v>
      </c>
      <c r="G55" s="4" t="n">
        <v>12.6924</v>
      </c>
    </row>
    <row r="56" customFormat="false" ht="15" hidden="false" customHeight="false" outlineLevel="0" collapsed="false">
      <c r="A56" s="4" t="n">
        <v>2016</v>
      </c>
      <c r="B56" s="4" t="s">
        <v>460</v>
      </c>
      <c r="C56" s="4" t="s">
        <v>135</v>
      </c>
      <c r="D56" s="28" t="n">
        <v>17238953000</v>
      </c>
      <c r="E56" s="28" t="n">
        <v>24453415639.3278</v>
      </c>
      <c r="F56" s="4" t="n">
        <v>47.1671</v>
      </c>
      <c r="G56" s="4" t="n">
        <v>48.8005</v>
      </c>
    </row>
    <row r="57" customFormat="false" ht="15" hidden="false" customHeight="false" outlineLevel="0" collapsed="false">
      <c r="A57" s="4" t="n">
        <v>2017</v>
      </c>
      <c r="B57" s="4" t="s">
        <v>460</v>
      </c>
      <c r="C57" s="4" t="s">
        <v>135</v>
      </c>
      <c r="D57" s="28" t="n">
        <v>15416995000</v>
      </c>
      <c r="E57" s="28" t="n">
        <v>21242323806.1016</v>
      </c>
      <c r="F57" s="4" t="n">
        <v>44.6165</v>
      </c>
      <c r="G57" s="4" t="n">
        <v>-13.1315</v>
      </c>
    </row>
    <row r="58" customFormat="false" ht="15" hidden="false" customHeight="false" outlineLevel="0" collapsed="false">
      <c r="A58" s="4" t="n">
        <v>2018</v>
      </c>
      <c r="B58" s="4" t="s">
        <v>460</v>
      </c>
      <c r="C58" s="4" t="s">
        <v>135</v>
      </c>
      <c r="D58" s="28" t="n">
        <v>14233930000</v>
      </c>
      <c r="E58" s="28" t="n">
        <v>18903360359.0194</v>
      </c>
      <c r="F58" s="4" t="n">
        <v>41.3901</v>
      </c>
      <c r="G58" s="4" t="n">
        <v>-11.0109</v>
      </c>
    </row>
    <row r="59" customFormat="false" ht="15" hidden="false" customHeight="false" outlineLevel="0" collapsed="false">
      <c r="A59" s="4" t="n">
        <v>2019</v>
      </c>
      <c r="B59" s="4" t="s">
        <v>460</v>
      </c>
      <c r="C59" s="4" t="s">
        <v>135</v>
      </c>
      <c r="D59" s="28" t="n">
        <v>16119603000</v>
      </c>
      <c r="E59" s="28" t="n">
        <v>20523082170.3466</v>
      </c>
      <c r="F59" s="4" t="n">
        <v>42.4515</v>
      </c>
      <c r="G59" s="4" t="n">
        <v>8.5684</v>
      </c>
    </row>
    <row r="60" customFormat="false" ht="15" hidden="false" customHeight="false" outlineLevel="0" collapsed="false">
      <c r="A60" s="4" t="n">
        <v>2020</v>
      </c>
      <c r="B60" s="4" t="s">
        <v>460</v>
      </c>
      <c r="C60" s="4" t="s">
        <v>135</v>
      </c>
      <c r="D60" s="28" t="n">
        <v>13865580000</v>
      </c>
      <c r="E60" s="28" t="n">
        <v>16889892376.1236</v>
      </c>
      <c r="F60" s="4" t="n">
        <v>40.2867</v>
      </c>
      <c r="G60" s="4" t="n">
        <v>-17.7029</v>
      </c>
    </row>
    <row r="61" customFormat="false" ht="15" hidden="false" customHeight="false" outlineLevel="0" collapsed="false">
      <c r="A61" s="4" t="n">
        <v>2021</v>
      </c>
      <c r="B61" s="4" t="s">
        <v>460</v>
      </c>
      <c r="C61" s="4" t="s">
        <v>135</v>
      </c>
      <c r="D61" s="28" t="n">
        <v>16459171000</v>
      </c>
      <c r="E61" s="28" t="n">
        <v>18216598654.3416</v>
      </c>
      <c r="F61" s="4" t="n">
        <v>42.3905</v>
      </c>
      <c r="G61" s="4" t="n">
        <v>7.855</v>
      </c>
    </row>
    <row r="62" customFormat="false" ht="15" hidden="false" customHeight="false" outlineLevel="0" collapsed="false">
      <c r="A62" s="4" t="n">
        <v>2002</v>
      </c>
      <c r="B62" s="4" t="s">
        <v>261</v>
      </c>
      <c r="C62" s="4" t="s">
        <v>99</v>
      </c>
      <c r="D62" s="28" t="n">
        <v>4539225000</v>
      </c>
      <c r="E62" s="28" t="n">
        <v>15074880388.9574</v>
      </c>
      <c r="F62" s="4" t="n">
        <v>40.6157</v>
      </c>
      <c r="G62" s="4"/>
    </row>
    <row r="63" customFormat="false" ht="15" hidden="false" customHeight="false" outlineLevel="0" collapsed="false">
      <c r="A63" s="4" t="n">
        <v>2003</v>
      </c>
      <c r="B63" s="4" t="s">
        <v>261</v>
      </c>
      <c r="C63" s="4" t="s">
        <v>99</v>
      </c>
      <c r="D63" s="28" t="n">
        <v>5123444000</v>
      </c>
      <c r="E63" s="28" t="n">
        <v>15567325143.0744</v>
      </c>
      <c r="F63" s="4" t="n">
        <v>37.5012</v>
      </c>
      <c r="G63" s="4" t="n">
        <v>3.2667</v>
      </c>
    </row>
    <row r="64" customFormat="false" ht="15" hidden="false" customHeight="false" outlineLevel="0" collapsed="false">
      <c r="A64" s="4" t="n">
        <v>2004</v>
      </c>
      <c r="B64" s="4" t="s">
        <v>261</v>
      </c>
      <c r="C64" s="4" t="s">
        <v>99</v>
      </c>
      <c r="D64" s="28" t="n">
        <v>5546388000</v>
      </c>
      <c r="E64" s="28" t="n">
        <v>15662099506.7038</v>
      </c>
      <c r="F64" s="4" t="n">
        <v>35.2873</v>
      </c>
      <c r="G64" s="4" t="n">
        <v>0.6088</v>
      </c>
    </row>
    <row r="65" customFormat="false" ht="15" hidden="false" customHeight="false" outlineLevel="0" collapsed="false">
      <c r="A65" s="4" t="n">
        <v>2005</v>
      </c>
      <c r="B65" s="4" t="s">
        <v>261</v>
      </c>
      <c r="C65" s="4" t="s">
        <v>99</v>
      </c>
      <c r="D65" s="28" t="n">
        <v>6034808000</v>
      </c>
      <c r="E65" s="28" t="n">
        <v>16123870104.8369</v>
      </c>
      <c r="F65" s="4" t="n">
        <v>38.2337</v>
      </c>
      <c r="G65" s="4" t="n">
        <v>2.9483</v>
      </c>
    </row>
    <row r="66" customFormat="false" ht="15" hidden="false" customHeight="false" outlineLevel="0" collapsed="false">
      <c r="A66" s="4" t="n">
        <v>2006</v>
      </c>
      <c r="B66" s="4" t="s">
        <v>261</v>
      </c>
      <c r="C66" s="4" t="s">
        <v>99</v>
      </c>
      <c r="D66" s="28" t="n">
        <v>6555758000</v>
      </c>
      <c r="E66" s="28" t="n">
        <v>16982499869.4377</v>
      </c>
      <c r="F66" s="4" t="n">
        <v>40.6579</v>
      </c>
      <c r="G66" s="4" t="n">
        <v>5.3252</v>
      </c>
    </row>
    <row r="67" customFormat="false" ht="15" hidden="false" customHeight="false" outlineLevel="0" collapsed="false">
      <c r="A67" s="4" t="n">
        <v>2007</v>
      </c>
      <c r="B67" s="4" t="s">
        <v>261</v>
      </c>
      <c r="C67" s="4" t="s">
        <v>99</v>
      </c>
      <c r="D67" s="28" t="n">
        <v>7273250000</v>
      </c>
      <c r="E67" s="28" t="n">
        <v>18036704926.6742</v>
      </c>
      <c r="F67" s="4" t="n">
        <v>38.529</v>
      </c>
      <c r="G67" s="4" t="n">
        <v>6.2076</v>
      </c>
    </row>
    <row r="68" customFormat="false" ht="15" hidden="false" customHeight="false" outlineLevel="0" collapsed="false">
      <c r="A68" s="4" t="n">
        <v>2008</v>
      </c>
      <c r="B68" s="4" t="s">
        <v>261</v>
      </c>
      <c r="C68" s="4" t="s">
        <v>99</v>
      </c>
      <c r="D68" s="28" t="n">
        <v>8236812000</v>
      </c>
      <c r="E68" s="28" t="n">
        <v>19288207892.6519</v>
      </c>
      <c r="F68" s="4" t="n">
        <v>38.897</v>
      </c>
      <c r="G68" s="4" t="n">
        <v>6.9386</v>
      </c>
    </row>
    <row r="69" customFormat="false" ht="15" hidden="false" customHeight="false" outlineLevel="0" collapsed="false">
      <c r="A69" s="4" t="n">
        <v>2009</v>
      </c>
      <c r="B69" s="4" t="s">
        <v>261</v>
      </c>
      <c r="C69" s="4" t="s">
        <v>99</v>
      </c>
      <c r="D69" s="28" t="n">
        <v>8877586000</v>
      </c>
      <c r="E69" s="28" t="n">
        <v>19929741580.9849</v>
      </c>
      <c r="F69" s="4" t="n">
        <v>41.6517</v>
      </c>
      <c r="G69" s="4" t="n">
        <v>3.326</v>
      </c>
    </row>
    <row r="70" customFormat="false" ht="15" hidden="false" customHeight="false" outlineLevel="0" collapsed="false">
      <c r="A70" s="4" t="n">
        <v>2010</v>
      </c>
      <c r="B70" s="4" t="s">
        <v>261</v>
      </c>
      <c r="C70" s="4" t="s">
        <v>99</v>
      </c>
      <c r="D70" s="28" t="n">
        <v>9610221000</v>
      </c>
      <c r="E70" s="28" t="n">
        <v>20370570227.3745</v>
      </c>
      <c r="F70" s="4" t="n">
        <v>43.9257</v>
      </c>
      <c r="G70" s="4" t="n">
        <v>2.2119</v>
      </c>
    </row>
    <row r="71" customFormat="false" ht="15" hidden="false" customHeight="false" outlineLevel="0" collapsed="false">
      <c r="A71" s="4" t="n">
        <v>2011</v>
      </c>
      <c r="B71" s="4" t="s">
        <v>261</v>
      </c>
      <c r="C71" s="4" t="s">
        <v>99</v>
      </c>
      <c r="D71" s="28" t="n">
        <v>10938465000</v>
      </c>
      <c r="E71" s="28" t="n">
        <v>21770910129.0143</v>
      </c>
      <c r="F71" s="4" t="n">
        <v>51.4306</v>
      </c>
      <c r="G71" s="4" t="n">
        <v>6.8743</v>
      </c>
    </row>
    <row r="72" customFormat="false" ht="15" hidden="false" customHeight="false" outlineLevel="0" collapsed="false">
      <c r="A72" s="4" t="n">
        <v>2012</v>
      </c>
      <c r="B72" s="4" t="s">
        <v>261</v>
      </c>
      <c r="C72" s="4" t="s">
        <v>99</v>
      </c>
      <c r="D72" s="28" t="n">
        <v>12293119000</v>
      </c>
      <c r="E72" s="28" t="n">
        <v>23117052431.8388</v>
      </c>
      <c r="F72" s="4" t="n">
        <v>56.0459</v>
      </c>
      <c r="G72" s="4" t="n">
        <v>6.1832</v>
      </c>
    </row>
    <row r="73" customFormat="false" ht="15" hidden="false" customHeight="false" outlineLevel="0" collapsed="false">
      <c r="A73" s="4" t="n">
        <v>2013</v>
      </c>
      <c r="B73" s="4" t="s">
        <v>261</v>
      </c>
      <c r="C73" s="4" t="s">
        <v>99</v>
      </c>
      <c r="D73" s="28" t="n">
        <v>13625051000</v>
      </c>
      <c r="E73" s="28" t="n">
        <v>24191987022.3748</v>
      </c>
      <c r="F73" s="4" t="n">
        <v>58.3059</v>
      </c>
      <c r="G73" s="4" t="n">
        <v>4.65</v>
      </c>
    </row>
    <row r="74" customFormat="false" ht="15" hidden="false" customHeight="false" outlineLevel="0" collapsed="false">
      <c r="A74" s="4" t="n">
        <v>2014</v>
      </c>
      <c r="B74" s="4" t="s">
        <v>261</v>
      </c>
      <c r="C74" s="4" t="s">
        <v>99</v>
      </c>
      <c r="D74" s="28" t="n">
        <v>14556850000</v>
      </c>
      <c r="E74" s="28" t="n">
        <v>24289488424.5017</v>
      </c>
      <c r="F74" s="4" t="n">
        <v>56.7935</v>
      </c>
      <c r="G74" s="4" t="n">
        <v>0.403</v>
      </c>
    </row>
    <row r="75" customFormat="false" ht="15" hidden="false" customHeight="false" outlineLevel="0" collapsed="false">
      <c r="A75" s="4" t="n">
        <v>2015</v>
      </c>
      <c r="B75" s="4" t="s">
        <v>261</v>
      </c>
      <c r="C75" s="4" t="s">
        <v>99</v>
      </c>
      <c r="D75" s="28" t="n">
        <v>15362387000</v>
      </c>
      <c r="E75" s="28" t="n">
        <v>23162197078.5996</v>
      </c>
      <c r="F75" s="4" t="n">
        <v>53.3217</v>
      </c>
      <c r="G75" s="4" t="n">
        <v>-4.6411</v>
      </c>
    </row>
    <row r="76" customFormat="false" ht="15" hidden="false" customHeight="false" outlineLevel="0" collapsed="false">
      <c r="A76" s="4" t="n">
        <v>2016</v>
      </c>
      <c r="B76" s="4" t="s">
        <v>261</v>
      </c>
      <c r="C76" s="4" t="s">
        <v>99</v>
      </c>
      <c r="D76" s="28" t="n">
        <v>16716019000</v>
      </c>
      <c r="E76" s="28" t="n">
        <v>23711634949.1701</v>
      </c>
      <c r="F76" s="4" t="n">
        <v>45.7363</v>
      </c>
      <c r="G76" s="4" t="n">
        <v>2.3721</v>
      </c>
    </row>
    <row r="77" customFormat="false" ht="15" hidden="false" customHeight="false" outlineLevel="0" collapsed="false">
      <c r="A77" s="4" t="n">
        <v>2017</v>
      </c>
      <c r="B77" s="4" t="s">
        <v>261</v>
      </c>
      <c r="C77" s="4" t="s">
        <v>99</v>
      </c>
      <c r="D77" s="28" t="n">
        <v>16531868000</v>
      </c>
      <c r="E77" s="28" t="n">
        <v>22778452816.2413</v>
      </c>
      <c r="F77" s="4" t="n">
        <v>47.8429</v>
      </c>
      <c r="G77" s="4" t="n">
        <v>-3.9355</v>
      </c>
    </row>
    <row r="78" customFormat="false" ht="15" hidden="false" customHeight="false" outlineLevel="0" collapsed="false">
      <c r="A78" s="4" t="n">
        <v>2018</v>
      </c>
      <c r="B78" s="4" t="s">
        <v>261</v>
      </c>
      <c r="C78" s="4" t="s">
        <v>99</v>
      </c>
      <c r="D78" s="28" t="n">
        <v>17476560000</v>
      </c>
      <c r="E78" s="28" t="n">
        <v>23209732766.4267</v>
      </c>
      <c r="F78" s="4" t="n">
        <v>50.8192</v>
      </c>
      <c r="G78" s="4" t="n">
        <v>1.8934</v>
      </c>
    </row>
    <row r="79" customFormat="false" ht="15" hidden="false" customHeight="false" outlineLevel="0" collapsed="false">
      <c r="A79" s="4" t="n">
        <v>2019</v>
      </c>
      <c r="B79" s="4" t="s">
        <v>261</v>
      </c>
      <c r="C79" s="4" t="s">
        <v>99</v>
      </c>
      <c r="D79" s="28" t="n">
        <v>19115289000</v>
      </c>
      <c r="E79" s="28" t="n">
        <v>24337115923.8179</v>
      </c>
      <c r="F79" s="4" t="n">
        <v>50.3408</v>
      </c>
      <c r="G79" s="4" t="n">
        <v>4.8574</v>
      </c>
    </row>
    <row r="80" customFormat="false" ht="15" hidden="false" customHeight="false" outlineLevel="0" collapsed="false">
      <c r="A80" s="4" t="n">
        <v>2020</v>
      </c>
      <c r="B80" s="4" t="s">
        <v>261</v>
      </c>
      <c r="C80" s="4" t="s">
        <v>99</v>
      </c>
      <c r="D80" s="28" t="n">
        <v>17770593000</v>
      </c>
      <c r="E80" s="28" t="n">
        <v>21646653312.0068</v>
      </c>
      <c r="F80" s="4" t="n">
        <v>51.6328</v>
      </c>
      <c r="G80" s="4" t="n">
        <v>-11.055</v>
      </c>
    </row>
    <row r="81" customFormat="false" ht="15" hidden="false" customHeight="false" outlineLevel="0" collapsed="false">
      <c r="A81" s="4" t="n">
        <v>2021</v>
      </c>
      <c r="B81" s="4" t="s">
        <v>261</v>
      </c>
      <c r="C81" s="4" t="s">
        <v>99</v>
      </c>
      <c r="D81" s="28" t="n">
        <v>19457996000</v>
      </c>
      <c r="E81" s="28" t="n">
        <v>21535623133.7401</v>
      </c>
      <c r="F81" s="4" t="n">
        <v>50.114</v>
      </c>
      <c r="G81" s="4" t="n">
        <v>-0.5129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3"/>
  </cols>
  <sheetData>
    <row r="1" customFormat="false" ht="15" hidden="false" customHeight="false" outlineLevel="0" collapsed="false">
      <c r="A1" s="40" t="s">
        <v>252</v>
      </c>
      <c r="B1" s="40" t="s">
        <v>305</v>
      </c>
    </row>
    <row r="2" customFormat="false" ht="15" hidden="false" customHeight="false" outlineLevel="0" collapsed="false">
      <c r="A2" s="4" t="n">
        <v>2002</v>
      </c>
      <c r="B2" s="4" t="n">
        <v>12.53</v>
      </c>
    </row>
    <row r="3" customFormat="false" ht="15" hidden="false" customHeight="false" outlineLevel="0" collapsed="false">
      <c r="A3" s="4" t="n">
        <v>2003</v>
      </c>
      <c r="B3" s="4" t="n">
        <v>9.3</v>
      </c>
    </row>
    <row r="4" customFormat="false" ht="15" hidden="false" customHeight="false" outlineLevel="0" collapsed="false">
      <c r="A4" s="4" t="n">
        <v>2004</v>
      </c>
      <c r="B4" s="4" t="n">
        <v>7.6</v>
      </c>
    </row>
    <row r="5" customFormat="false" ht="15" hidden="false" customHeight="false" outlineLevel="0" collapsed="false">
      <c r="A5" s="4" t="n">
        <v>2005</v>
      </c>
      <c r="B5" s="4" t="n">
        <v>5.69</v>
      </c>
    </row>
    <row r="6" customFormat="false" ht="15" hidden="false" customHeight="false" outlineLevel="0" collapsed="false">
      <c r="A6" s="4" t="n">
        <v>2006</v>
      </c>
      <c r="B6" s="4" t="n">
        <v>3.14</v>
      </c>
    </row>
    <row r="7" customFormat="false" ht="15" hidden="false" customHeight="false" outlineLevel="0" collapsed="false">
      <c r="A7" s="4" t="n">
        <v>2007</v>
      </c>
      <c r="B7" s="4" t="n">
        <v>4.46</v>
      </c>
    </row>
    <row r="8" customFormat="false" ht="15" hidden="false" customHeight="false" outlineLevel="0" collapsed="false">
      <c r="A8" s="4" t="n">
        <v>2008</v>
      </c>
      <c r="B8" s="4" t="n">
        <v>5.9</v>
      </c>
    </row>
    <row r="9" customFormat="false" ht="15" hidden="false" customHeight="false" outlineLevel="0" collapsed="false">
      <c r="A9" s="4" t="n">
        <v>2009</v>
      </c>
      <c r="B9" s="4" t="n">
        <v>4.31</v>
      </c>
    </row>
    <row r="10" customFormat="false" ht="15" hidden="false" customHeight="false" outlineLevel="0" collapsed="false">
      <c r="A10" s="4" t="n">
        <v>2010</v>
      </c>
      <c r="B10" s="4" t="n">
        <v>5.91</v>
      </c>
    </row>
    <row r="11" customFormat="false" ht="15" hidden="false" customHeight="false" outlineLevel="0" collapsed="false">
      <c r="A11" s="4" t="n">
        <v>2011</v>
      </c>
      <c r="B11" s="4" t="n">
        <v>6.5</v>
      </c>
    </row>
    <row r="12" customFormat="false" ht="15" hidden="false" customHeight="false" outlineLevel="0" collapsed="false">
      <c r="A12" s="4" t="n">
        <v>2012</v>
      </c>
      <c r="B12" s="4" t="n">
        <v>5.84</v>
      </c>
    </row>
    <row r="13" customFormat="false" ht="15" hidden="false" customHeight="false" outlineLevel="0" collapsed="false">
      <c r="A13" s="4" t="n">
        <v>2013</v>
      </c>
      <c r="B13" s="4" t="n">
        <v>5.91</v>
      </c>
    </row>
    <row r="14" customFormat="false" ht="15" hidden="false" customHeight="false" outlineLevel="0" collapsed="false">
      <c r="A14" s="4" t="n">
        <v>2014</v>
      </c>
      <c r="B14" s="4" t="n">
        <v>6.41</v>
      </c>
    </row>
    <row r="15" customFormat="false" ht="15" hidden="false" customHeight="false" outlineLevel="0" collapsed="false">
      <c r="A15" s="4" t="n">
        <v>2015</v>
      </c>
      <c r="B15" s="4" t="n">
        <v>10.67</v>
      </c>
    </row>
    <row r="16" customFormat="false" ht="15" hidden="false" customHeight="false" outlineLevel="0" collapsed="false">
      <c r="A16" s="4" t="n">
        <v>2016</v>
      </c>
      <c r="B16" s="4" t="n">
        <v>6.29</v>
      </c>
    </row>
    <row r="17" customFormat="false" ht="15" hidden="false" customHeight="false" outlineLevel="0" collapsed="false">
      <c r="A17" s="4" t="n">
        <v>2017</v>
      </c>
      <c r="B17" s="4" t="n">
        <v>2.95</v>
      </c>
    </row>
    <row r="18" customFormat="false" ht="15" hidden="false" customHeight="false" outlineLevel="0" collapsed="false">
      <c r="A18" s="4" t="n">
        <v>2018</v>
      </c>
      <c r="B18" s="4" t="n">
        <v>3.75</v>
      </c>
    </row>
    <row r="19" customFormat="false" ht="15" hidden="false" customHeight="false" outlineLevel="0" collapsed="false">
      <c r="A19" s="4" t="n">
        <v>2019</v>
      </c>
      <c r="B19" s="4" t="n">
        <v>4.31</v>
      </c>
    </row>
    <row r="20" customFormat="false" ht="15" hidden="false" customHeight="false" outlineLevel="0" collapsed="false">
      <c r="A20" s="4" t="n">
        <v>2020</v>
      </c>
      <c r="B20" s="4" t="n">
        <v>4.52</v>
      </c>
    </row>
    <row r="21" customFormat="false" ht="15" hidden="false" customHeight="false" outlineLevel="0" collapsed="false">
      <c r="A21" s="4" t="n">
        <v>2021</v>
      </c>
      <c r="B21" s="4" t="n">
        <v>10.06</v>
      </c>
    </row>
    <row r="22" customFormat="false" ht="15" hidden="false" customHeight="false" outlineLevel="0" collapsed="false">
      <c r="A22" s="4" t="n">
        <v>2022</v>
      </c>
      <c r="B22" s="4" t="n">
        <v>5.79</v>
      </c>
    </row>
    <row r="23" customFormat="false" ht="15" hidden="false" customHeight="false" outlineLevel="0" collapsed="false">
      <c r="A23" s="4" t="n">
        <v>2023</v>
      </c>
      <c r="B23" s="4" t="n">
        <v>4.62</v>
      </c>
    </row>
    <row r="24" customFormat="false" ht="15" hidden="false" customHeight="false" outlineLevel="0" collapsed="false">
      <c r="A24" s="4" t="n">
        <v>2024</v>
      </c>
      <c r="B24" s="4" t="n">
        <v>4.83</v>
      </c>
    </row>
    <row r="25" customFormat="false" ht="15" hidden="false" customHeight="false" outlineLevel="0" collapsed="false">
      <c r="A25" s="4" t="n">
        <v>2025</v>
      </c>
      <c r="B25" s="4" t="n">
        <v>4.26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40" t="s">
        <v>252</v>
      </c>
      <c r="B1" s="40" t="s">
        <v>461</v>
      </c>
      <c r="C1" s="40" t="s">
        <v>496</v>
      </c>
    </row>
    <row r="2" customFormat="false" ht="15" hidden="false" customHeight="false" outlineLevel="0" collapsed="false">
      <c r="A2" s="4" t="n">
        <v>2001</v>
      </c>
      <c r="B2" s="28" t="n">
        <v>550762</v>
      </c>
      <c r="C2" s="4" t="s">
        <v>482</v>
      </c>
    </row>
    <row r="3" customFormat="false" ht="15" hidden="false" customHeight="false" outlineLevel="0" collapsed="false">
      <c r="A3" s="4" t="n">
        <v>2002</v>
      </c>
      <c r="B3" s="28" t="n">
        <v>559710</v>
      </c>
      <c r="C3" s="4" t="s">
        <v>482</v>
      </c>
    </row>
    <row r="4" customFormat="false" ht="15" hidden="false" customHeight="false" outlineLevel="0" collapsed="false">
      <c r="A4" s="4" t="n">
        <v>2003</v>
      </c>
      <c r="B4" s="28" t="n">
        <v>569177</v>
      </c>
      <c r="C4" s="4" t="s">
        <v>482</v>
      </c>
    </row>
    <row r="5" customFormat="false" ht="15" hidden="false" customHeight="false" outlineLevel="0" collapsed="false">
      <c r="A5" s="4" t="n">
        <v>2004</v>
      </c>
      <c r="B5" s="28" t="n">
        <v>589050</v>
      </c>
      <c r="C5" s="4" t="s">
        <v>482</v>
      </c>
    </row>
    <row r="6" customFormat="false" ht="15" hidden="false" customHeight="false" outlineLevel="0" collapsed="false">
      <c r="A6" s="4" t="n">
        <v>2005</v>
      </c>
      <c r="B6" s="28" t="n">
        <v>600049</v>
      </c>
      <c r="C6" s="4" t="s">
        <v>482</v>
      </c>
    </row>
    <row r="7" customFormat="false" ht="15" hidden="false" customHeight="false" outlineLevel="0" collapsed="false">
      <c r="A7" s="4" t="n">
        <v>2006</v>
      </c>
      <c r="B7" s="28" t="n">
        <v>610965</v>
      </c>
      <c r="C7" s="4" t="s">
        <v>482</v>
      </c>
    </row>
    <row r="8" customFormat="false" ht="15" hidden="false" customHeight="false" outlineLevel="0" collapsed="false">
      <c r="A8" s="4" t="n">
        <v>2007</v>
      </c>
      <c r="B8" s="28" t="n">
        <v>594948</v>
      </c>
      <c r="C8" s="4" t="s">
        <v>484</v>
      </c>
    </row>
    <row r="9" customFormat="false" ht="15" hidden="false" customHeight="false" outlineLevel="0" collapsed="false">
      <c r="A9" s="4" t="n">
        <v>2008</v>
      </c>
      <c r="B9" s="28" t="n">
        <v>609229</v>
      </c>
      <c r="C9" s="4" t="s">
        <v>482</v>
      </c>
    </row>
    <row r="10" customFormat="false" ht="15" hidden="false" customHeight="false" outlineLevel="0" collapsed="false">
      <c r="A10" s="4" t="n">
        <v>2009</v>
      </c>
      <c r="B10" s="28" t="n">
        <v>615871</v>
      </c>
      <c r="C10" s="4" t="s">
        <v>482</v>
      </c>
    </row>
    <row r="11" customFormat="false" ht="15" hidden="false" customHeight="false" outlineLevel="0" collapsed="false">
      <c r="A11" s="4" t="n">
        <v>2010</v>
      </c>
      <c r="B11" s="28" t="n">
        <v>629921</v>
      </c>
      <c r="C11" s="4" t="s">
        <v>485</v>
      </c>
    </row>
    <row r="12" customFormat="false" ht="15" hidden="false" customHeight="false" outlineLevel="0" collapsed="false">
      <c r="A12" s="4" t="n">
        <v>2011</v>
      </c>
      <c r="B12" s="28" t="n">
        <v>636876</v>
      </c>
      <c r="C12" s="4" t="s">
        <v>482</v>
      </c>
    </row>
    <row r="13" customFormat="false" ht="15" hidden="false" customHeight="false" outlineLevel="0" collapsed="false">
      <c r="A13" s="4" t="n">
        <v>2012</v>
      </c>
      <c r="B13" s="28" t="n">
        <v>643603</v>
      </c>
      <c r="C13" s="4" t="s">
        <v>482</v>
      </c>
    </row>
    <row r="14" customFormat="false" ht="15" hidden="false" customHeight="false" outlineLevel="0" collapsed="false">
      <c r="A14" s="4" t="n">
        <v>2013</v>
      </c>
      <c r="B14" s="28" t="n">
        <v>673255</v>
      </c>
      <c r="C14" s="4" t="s">
        <v>482</v>
      </c>
    </row>
    <row r="15" customFormat="false" ht="15" hidden="false" customHeight="false" outlineLevel="0" collapsed="false">
      <c r="A15" s="4" t="n">
        <v>2014</v>
      </c>
      <c r="B15" s="28" t="n">
        <v>681036</v>
      </c>
      <c r="C15" s="4" t="s">
        <v>482</v>
      </c>
    </row>
    <row r="16" customFormat="false" ht="15" hidden="false" customHeight="false" outlineLevel="0" collapsed="false">
      <c r="A16" s="4" t="n">
        <v>2015</v>
      </c>
      <c r="B16" s="28" t="n">
        <v>688597</v>
      </c>
      <c r="C16" s="4" t="s">
        <v>482</v>
      </c>
    </row>
    <row r="17" customFormat="false" ht="15" hidden="false" customHeight="false" outlineLevel="0" collapsed="false">
      <c r="A17" s="4" t="n">
        <v>2016</v>
      </c>
      <c r="B17" s="28" t="n">
        <v>695992</v>
      </c>
      <c r="C17" s="4" t="s">
        <v>482</v>
      </c>
    </row>
    <row r="18" customFormat="false" ht="15" hidden="false" customHeight="false" outlineLevel="0" collapsed="false">
      <c r="A18" s="4" t="n">
        <v>2017</v>
      </c>
      <c r="B18" s="28" t="n">
        <v>703219</v>
      </c>
      <c r="C18" s="4" t="s">
        <v>482</v>
      </c>
    </row>
    <row r="19" customFormat="false" ht="15" hidden="false" customHeight="false" outlineLevel="0" collapsed="false">
      <c r="A19" s="4" t="n">
        <v>2018</v>
      </c>
      <c r="B19" s="28" t="n">
        <v>713943</v>
      </c>
      <c r="C19" s="4" t="s">
        <v>482</v>
      </c>
    </row>
    <row r="20" customFormat="false" ht="15" hidden="false" customHeight="false" outlineLevel="0" collapsed="false">
      <c r="A20" s="4" t="n">
        <v>2019</v>
      </c>
      <c r="B20" s="28" t="n">
        <v>721944</v>
      </c>
      <c r="C20" s="4" t="s">
        <v>482</v>
      </c>
    </row>
    <row r="21" customFormat="false" ht="15" hidden="false" customHeight="false" outlineLevel="0" collapsed="false">
      <c r="A21" s="4" t="n">
        <v>2020</v>
      </c>
      <c r="B21" s="28" t="n">
        <v>729737</v>
      </c>
      <c r="C21" s="4" t="s">
        <v>482</v>
      </c>
    </row>
    <row r="22" customFormat="false" ht="15" hidden="false" customHeight="false" outlineLevel="0" collapsed="false">
      <c r="A22" s="4" t="n">
        <v>2021</v>
      </c>
      <c r="B22" s="28" t="n">
        <v>737310</v>
      </c>
      <c r="C22" s="4" t="s">
        <v>482</v>
      </c>
    </row>
    <row r="23" customFormat="false" ht="15" hidden="false" customHeight="false" outlineLevel="0" collapsed="false">
      <c r="A23" s="4" t="n">
        <v>2022</v>
      </c>
      <c r="B23" s="28" t="n">
        <v>697054</v>
      </c>
      <c r="C23" s="4" t="s">
        <v>487</v>
      </c>
    </row>
    <row r="24" customFormat="false" ht="15" hidden="false" customHeight="false" outlineLevel="0" collapsed="false">
      <c r="A24" s="4" t="n">
        <v>2024</v>
      </c>
      <c r="B24" s="28" t="n">
        <v>724756</v>
      </c>
      <c r="C24" s="4" t="s">
        <v>482</v>
      </c>
    </row>
    <row r="25" customFormat="false" ht="15" hidden="false" customHeight="false" outlineLevel="0" collapsed="false">
      <c r="A25" s="4" t="n">
        <v>2025</v>
      </c>
      <c r="B25" s="28" t="n">
        <v>727078</v>
      </c>
      <c r="C25" s="4" t="s">
        <v>482</v>
      </c>
    </row>
    <row r="26" customFormat="false" ht="15" hidden="false" customHeight="false" outlineLevel="0" collapsed="false">
      <c r="A26" s="4" t="n">
        <v>2026</v>
      </c>
      <c r="B26" s="28" t="n">
        <v>729153</v>
      </c>
      <c r="C26" s="4" t="s">
        <v>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1"/>
  </cols>
  <sheetData>
    <row r="1" customFormat="false" ht="15" hidden="false" customHeight="false" outlineLevel="0" collapsed="false">
      <c r="A1" s="40" t="s">
        <v>497</v>
      </c>
      <c r="B1" s="40" t="s">
        <v>252</v>
      </c>
      <c r="C1" s="40" t="s">
        <v>498</v>
      </c>
    </row>
    <row r="2" customFormat="false" ht="15" hidden="false" customHeight="false" outlineLevel="0" collapsed="false">
      <c r="A2" s="4" t="s">
        <v>499</v>
      </c>
      <c r="B2" s="4" t="n">
        <v>2002</v>
      </c>
      <c r="C2" s="4" t="n">
        <v>55.95</v>
      </c>
    </row>
    <row r="3" customFormat="false" ht="15" hidden="false" customHeight="false" outlineLevel="0" collapsed="false">
      <c r="A3" s="4" t="s">
        <v>499</v>
      </c>
      <c r="B3" s="4" t="n">
        <v>2003</v>
      </c>
      <c r="C3" s="4" t="n">
        <v>56.05</v>
      </c>
    </row>
    <row r="4" customFormat="false" ht="15" hidden="false" customHeight="false" outlineLevel="0" collapsed="false">
      <c r="A4" s="4" t="s">
        <v>499</v>
      </c>
      <c r="B4" s="4" t="n">
        <v>2004</v>
      </c>
      <c r="C4" s="4" t="n">
        <v>57.53</v>
      </c>
    </row>
    <row r="5" customFormat="false" ht="15" hidden="false" customHeight="false" outlineLevel="0" collapsed="false">
      <c r="A5" s="4" t="s">
        <v>499</v>
      </c>
      <c r="B5" s="4" t="n">
        <v>2005</v>
      </c>
      <c r="C5" s="4" t="n">
        <v>54.93</v>
      </c>
    </row>
    <row r="6" customFormat="false" ht="15" hidden="false" customHeight="false" outlineLevel="0" collapsed="false">
      <c r="A6" s="4" t="s">
        <v>499</v>
      </c>
      <c r="B6" s="4" t="n">
        <v>2006</v>
      </c>
      <c r="C6" s="4" t="n">
        <v>52.58</v>
      </c>
    </row>
    <row r="7" customFormat="false" ht="15" hidden="false" customHeight="false" outlineLevel="0" collapsed="false">
      <c r="A7" s="4" t="s">
        <v>499</v>
      </c>
      <c r="B7" s="4" t="n">
        <v>2007</v>
      </c>
      <c r="C7" s="4" t="n">
        <v>52.91</v>
      </c>
    </row>
    <row r="8" customFormat="false" ht="15" hidden="false" customHeight="false" outlineLevel="0" collapsed="false">
      <c r="A8" s="4" t="s">
        <v>499</v>
      </c>
      <c r="B8" s="4" t="n">
        <v>2008</v>
      </c>
      <c r="C8" s="4" t="n">
        <v>52.82</v>
      </c>
    </row>
    <row r="9" customFormat="false" ht="15" hidden="false" customHeight="false" outlineLevel="0" collapsed="false">
      <c r="A9" s="4" t="s">
        <v>499</v>
      </c>
      <c r="B9" s="4" t="n">
        <v>2009</v>
      </c>
      <c r="C9" s="4" t="n">
        <v>50.33</v>
      </c>
    </row>
    <row r="10" customFormat="false" ht="15" hidden="false" customHeight="false" outlineLevel="0" collapsed="false">
      <c r="A10" s="4" t="s">
        <v>499</v>
      </c>
      <c r="B10" s="4" t="n">
        <v>2010</v>
      </c>
      <c r="C10" s="4" t="n">
        <v>49.4</v>
      </c>
    </row>
    <row r="11" customFormat="false" ht="15" hidden="false" customHeight="false" outlineLevel="0" collapsed="false">
      <c r="A11" s="4" t="s">
        <v>499</v>
      </c>
      <c r="B11" s="4" t="n">
        <v>2011</v>
      </c>
      <c r="C11" s="4" t="n">
        <v>46.84</v>
      </c>
    </row>
    <row r="12" customFormat="false" ht="15" hidden="false" customHeight="false" outlineLevel="0" collapsed="false">
      <c r="A12" s="4" t="s">
        <v>499</v>
      </c>
      <c r="B12" s="4" t="n">
        <v>2012</v>
      </c>
      <c r="C12" s="4" t="n">
        <v>46.36</v>
      </c>
    </row>
    <row r="13" customFormat="false" ht="15" hidden="false" customHeight="false" outlineLevel="0" collapsed="false">
      <c r="A13" s="4" t="s">
        <v>499</v>
      </c>
      <c r="B13" s="4" t="n">
        <v>2013</v>
      </c>
      <c r="C13" s="4" t="n">
        <v>45.94</v>
      </c>
    </row>
    <row r="14" customFormat="false" ht="15" hidden="false" customHeight="false" outlineLevel="0" collapsed="false">
      <c r="A14" s="4" t="s">
        <v>499</v>
      </c>
      <c r="B14" s="4" t="n">
        <v>2014</v>
      </c>
      <c r="C14" s="4" t="n">
        <v>46.16</v>
      </c>
    </row>
    <row r="15" customFormat="false" ht="15" hidden="false" customHeight="false" outlineLevel="0" collapsed="false">
      <c r="A15" s="4" t="s">
        <v>499</v>
      </c>
      <c r="B15" s="4" t="n">
        <v>2015</v>
      </c>
      <c r="C15" s="4" t="n">
        <v>49.03</v>
      </c>
    </row>
    <row r="16" customFormat="false" ht="15" hidden="false" customHeight="false" outlineLevel="0" collapsed="false">
      <c r="A16" s="4" t="s">
        <v>499</v>
      </c>
      <c r="B16" s="4" t="n">
        <v>2016</v>
      </c>
      <c r="C16" s="4" t="n">
        <v>52.49</v>
      </c>
    </row>
    <row r="17" customFormat="false" ht="15" hidden="false" customHeight="false" outlineLevel="0" collapsed="false">
      <c r="A17" s="4" t="s">
        <v>499</v>
      </c>
      <c r="B17" s="4" t="n">
        <v>2017</v>
      </c>
      <c r="C17" s="4" t="n">
        <v>49.73</v>
      </c>
    </row>
    <row r="18" customFormat="false" ht="15" hidden="false" customHeight="false" outlineLevel="0" collapsed="false">
      <c r="A18" s="4" t="s">
        <v>499</v>
      </c>
      <c r="B18" s="4" t="n">
        <v>2018</v>
      </c>
      <c r="C18" s="4" t="n">
        <v>47.53</v>
      </c>
    </row>
    <row r="19" customFormat="false" ht="15" hidden="false" customHeight="false" outlineLevel="0" collapsed="false">
      <c r="A19" s="4" t="s">
        <v>499</v>
      </c>
      <c r="B19" s="4" t="n">
        <v>2019</v>
      </c>
      <c r="C19" s="4" t="n">
        <v>49.14</v>
      </c>
    </row>
    <row r="20" customFormat="false" ht="15" hidden="false" customHeight="false" outlineLevel="0" collapsed="false">
      <c r="A20" s="4" t="s">
        <v>499</v>
      </c>
      <c r="B20" s="4" t="n">
        <v>2020</v>
      </c>
      <c r="C20" s="4" t="n">
        <v>47.5</v>
      </c>
    </row>
    <row r="21" customFormat="false" ht="15" hidden="false" customHeight="false" outlineLevel="0" collapsed="false">
      <c r="A21" s="4" t="s">
        <v>499</v>
      </c>
      <c r="B21" s="4" t="n">
        <v>2021</v>
      </c>
      <c r="C21" s="4" t="n">
        <v>46.18</v>
      </c>
    </row>
    <row r="22" customFormat="false" ht="15" hidden="false" customHeight="false" outlineLevel="0" collapsed="false">
      <c r="A22" s="4" t="s">
        <v>499</v>
      </c>
      <c r="B22" s="4" t="n">
        <v>2022</v>
      </c>
      <c r="C22" s="4" t="n">
        <v>49.64</v>
      </c>
    </row>
    <row r="23" customFormat="false" ht="15" hidden="false" customHeight="false" outlineLevel="0" collapsed="false">
      <c r="A23" s="4" t="s">
        <v>499</v>
      </c>
      <c r="B23" s="4" t="n">
        <v>2023</v>
      </c>
      <c r="C23" s="4" t="n">
        <v>48.85</v>
      </c>
    </row>
    <row r="24" customFormat="false" ht="15" hidden="false" customHeight="false" outlineLevel="0" collapsed="false">
      <c r="A24" s="4" t="s">
        <v>500</v>
      </c>
      <c r="B24" s="4" t="n">
        <v>2002</v>
      </c>
      <c r="C24" s="4" t="n">
        <v>45.21</v>
      </c>
    </row>
    <row r="25" customFormat="false" ht="15" hidden="false" customHeight="false" outlineLevel="0" collapsed="false">
      <c r="A25" s="4" t="s">
        <v>500</v>
      </c>
      <c r="B25" s="4" t="n">
        <v>2003</v>
      </c>
      <c r="C25" s="4" t="n">
        <v>45.68</v>
      </c>
    </row>
    <row r="26" customFormat="false" ht="15" hidden="false" customHeight="false" outlineLevel="0" collapsed="false">
      <c r="A26" s="4" t="s">
        <v>500</v>
      </c>
      <c r="B26" s="4" t="n">
        <v>2004</v>
      </c>
      <c r="C26" s="4" t="n">
        <v>46.51</v>
      </c>
    </row>
    <row r="27" customFormat="false" ht="15" hidden="false" customHeight="false" outlineLevel="0" collapsed="false">
      <c r="A27" s="4" t="s">
        <v>500</v>
      </c>
      <c r="B27" s="4" t="n">
        <v>2005</v>
      </c>
      <c r="C27" s="4" t="n">
        <v>43.42</v>
      </c>
    </row>
    <row r="28" customFormat="false" ht="15" hidden="false" customHeight="false" outlineLevel="0" collapsed="false">
      <c r="A28" s="4" t="s">
        <v>500</v>
      </c>
      <c r="B28" s="4" t="n">
        <v>2006</v>
      </c>
      <c r="C28" s="4" t="n">
        <v>41.17</v>
      </c>
    </row>
    <row r="29" customFormat="false" ht="15" hidden="false" customHeight="false" outlineLevel="0" collapsed="false">
      <c r="A29" s="4" t="s">
        <v>500</v>
      </c>
      <c r="B29" s="4" t="n">
        <v>2007</v>
      </c>
      <c r="C29" s="4" t="n">
        <v>41.62</v>
      </c>
    </row>
    <row r="30" customFormat="false" ht="15" hidden="false" customHeight="false" outlineLevel="0" collapsed="false">
      <c r="A30" s="4" t="s">
        <v>500</v>
      </c>
      <c r="B30" s="4" t="n">
        <v>2008</v>
      </c>
      <c r="C30" s="4" t="n">
        <v>41.64</v>
      </c>
    </row>
    <row r="31" customFormat="false" ht="15" hidden="false" customHeight="false" outlineLevel="0" collapsed="false">
      <c r="A31" s="4" t="s">
        <v>500</v>
      </c>
      <c r="B31" s="4" t="n">
        <v>2009</v>
      </c>
      <c r="C31" s="4" t="n">
        <v>39.49</v>
      </c>
    </row>
    <row r="32" customFormat="false" ht="15" hidden="false" customHeight="false" outlineLevel="0" collapsed="false">
      <c r="A32" s="4" t="s">
        <v>500</v>
      </c>
      <c r="B32" s="4" t="n">
        <v>2010</v>
      </c>
      <c r="C32" s="4" t="n">
        <v>38.02</v>
      </c>
    </row>
    <row r="33" customFormat="false" ht="15" hidden="false" customHeight="false" outlineLevel="0" collapsed="false">
      <c r="A33" s="4" t="s">
        <v>500</v>
      </c>
      <c r="B33" s="4" t="n">
        <v>2011</v>
      </c>
      <c r="C33" s="4" t="n">
        <v>35.32</v>
      </c>
    </row>
    <row r="34" customFormat="false" ht="15" hidden="false" customHeight="false" outlineLevel="0" collapsed="false">
      <c r="A34" s="4" t="s">
        <v>500</v>
      </c>
      <c r="B34" s="4" t="n">
        <v>2012</v>
      </c>
      <c r="C34" s="4" t="n">
        <v>34.53</v>
      </c>
    </row>
    <row r="35" customFormat="false" ht="15" hidden="false" customHeight="false" outlineLevel="0" collapsed="false">
      <c r="A35" s="4" t="s">
        <v>500</v>
      </c>
      <c r="B35" s="4" t="n">
        <v>2013</v>
      </c>
      <c r="C35" s="4" t="n">
        <v>32.67</v>
      </c>
    </row>
    <row r="36" customFormat="false" ht="15" hidden="false" customHeight="false" outlineLevel="0" collapsed="false">
      <c r="A36" s="4" t="s">
        <v>500</v>
      </c>
      <c r="B36" s="4" t="n">
        <v>2014</v>
      </c>
      <c r="C36" s="4" t="n">
        <v>31.66</v>
      </c>
    </row>
    <row r="37" customFormat="false" ht="15" hidden="false" customHeight="false" outlineLevel="0" collapsed="false">
      <c r="A37" s="4" t="s">
        <v>500</v>
      </c>
      <c r="B37" s="4" t="n">
        <v>2015</v>
      </c>
      <c r="C37" s="4" t="n">
        <v>34.63</v>
      </c>
    </row>
    <row r="38" customFormat="false" ht="15" hidden="false" customHeight="false" outlineLevel="0" collapsed="false">
      <c r="A38" s="4" t="s">
        <v>500</v>
      </c>
      <c r="B38" s="4" t="n">
        <v>2016</v>
      </c>
      <c r="C38" s="4" t="n">
        <v>39.94</v>
      </c>
    </row>
    <row r="39" customFormat="false" ht="15" hidden="false" customHeight="false" outlineLevel="0" collapsed="false">
      <c r="A39" s="4" t="s">
        <v>500</v>
      </c>
      <c r="B39" s="4" t="n">
        <v>2017</v>
      </c>
      <c r="C39" s="4" t="n">
        <v>36.03</v>
      </c>
    </row>
    <row r="40" customFormat="false" ht="15" hidden="false" customHeight="false" outlineLevel="0" collapsed="false">
      <c r="A40" s="4" t="s">
        <v>500</v>
      </c>
      <c r="B40" s="4" t="n">
        <v>2018</v>
      </c>
      <c r="C40" s="4" t="n">
        <v>32.02</v>
      </c>
    </row>
    <row r="41" customFormat="false" ht="15" hidden="false" customHeight="false" outlineLevel="0" collapsed="false">
      <c r="A41" s="4" t="s">
        <v>500</v>
      </c>
      <c r="B41" s="4" t="n">
        <v>2019</v>
      </c>
      <c r="C41" s="4" t="n">
        <v>33.08</v>
      </c>
    </row>
    <row r="42" customFormat="false" ht="15" hidden="false" customHeight="false" outlineLevel="0" collapsed="false">
      <c r="A42" s="4" t="s">
        <v>500</v>
      </c>
      <c r="B42" s="4" t="n">
        <v>2020</v>
      </c>
      <c r="C42" s="4" t="n">
        <v>32.28</v>
      </c>
    </row>
    <row r="43" customFormat="false" ht="15" hidden="false" customHeight="false" outlineLevel="0" collapsed="false">
      <c r="A43" s="4" t="s">
        <v>500</v>
      </c>
      <c r="B43" s="4" t="n">
        <v>2021</v>
      </c>
      <c r="C43" s="4" t="n">
        <v>28.74</v>
      </c>
    </row>
    <row r="44" customFormat="false" ht="15" hidden="false" customHeight="false" outlineLevel="0" collapsed="false">
      <c r="A44" s="4" t="s">
        <v>500</v>
      </c>
      <c r="B44" s="4" t="n">
        <v>2022</v>
      </c>
      <c r="C44" s="4" t="n">
        <v>29.67</v>
      </c>
    </row>
    <row r="45" customFormat="false" ht="15" hidden="false" customHeight="false" outlineLevel="0" collapsed="false">
      <c r="A45" s="4" t="s">
        <v>500</v>
      </c>
      <c r="B45" s="4" t="n">
        <v>2023</v>
      </c>
      <c r="C45" s="4" t="n">
        <v>31.72</v>
      </c>
    </row>
    <row r="46" customFormat="false" ht="15" hidden="false" customHeight="false" outlineLevel="0" collapsed="false">
      <c r="A46" s="4" t="s">
        <v>501</v>
      </c>
      <c r="B46" s="4" t="n">
        <v>2002</v>
      </c>
      <c r="C46" s="4" t="n">
        <v>2.57</v>
      </c>
    </row>
    <row r="47" customFormat="false" ht="15" hidden="false" customHeight="false" outlineLevel="0" collapsed="false">
      <c r="A47" s="4" t="s">
        <v>501</v>
      </c>
      <c r="B47" s="4" t="n">
        <v>2003</v>
      </c>
      <c r="C47" s="4" t="n">
        <v>2.68</v>
      </c>
    </row>
    <row r="48" customFormat="false" ht="15" hidden="false" customHeight="false" outlineLevel="0" collapsed="false">
      <c r="A48" s="4" t="s">
        <v>501</v>
      </c>
      <c r="B48" s="4" t="n">
        <v>2004</v>
      </c>
      <c r="C48" s="4" t="n">
        <v>2.86</v>
      </c>
    </row>
    <row r="49" customFormat="false" ht="15" hidden="false" customHeight="false" outlineLevel="0" collapsed="false">
      <c r="A49" s="4" t="s">
        <v>501</v>
      </c>
      <c r="B49" s="4" t="n">
        <v>2005</v>
      </c>
      <c r="C49" s="4" t="n">
        <v>2.48</v>
      </c>
    </row>
    <row r="50" customFormat="false" ht="15" hidden="false" customHeight="false" outlineLevel="0" collapsed="false">
      <c r="A50" s="4" t="s">
        <v>501</v>
      </c>
      <c r="B50" s="4" t="n">
        <v>2006</v>
      </c>
      <c r="C50" s="4" t="n">
        <v>2.3</v>
      </c>
    </row>
    <row r="51" customFormat="false" ht="15" hidden="false" customHeight="false" outlineLevel="0" collapsed="false">
      <c r="A51" s="4" t="s">
        <v>501</v>
      </c>
      <c r="B51" s="4" t="n">
        <v>2007</v>
      </c>
      <c r="C51" s="4" t="n">
        <v>2.34</v>
      </c>
    </row>
    <row r="52" customFormat="false" ht="15" hidden="false" customHeight="false" outlineLevel="0" collapsed="false">
      <c r="A52" s="4" t="s">
        <v>501</v>
      </c>
      <c r="B52" s="4" t="n">
        <v>2008</v>
      </c>
      <c r="C52" s="4" t="n">
        <v>2.39</v>
      </c>
    </row>
    <row r="53" customFormat="false" ht="15" hidden="false" customHeight="false" outlineLevel="0" collapsed="false">
      <c r="A53" s="4" t="s">
        <v>501</v>
      </c>
      <c r="B53" s="4" t="n">
        <v>2009</v>
      </c>
      <c r="C53" s="4" t="n">
        <v>2.18</v>
      </c>
    </row>
    <row r="54" customFormat="false" ht="15" hidden="false" customHeight="false" outlineLevel="0" collapsed="false">
      <c r="A54" s="4" t="s">
        <v>501</v>
      </c>
      <c r="B54" s="4" t="n">
        <v>2010</v>
      </c>
      <c r="C54" s="4" t="n">
        <v>2</v>
      </c>
    </row>
    <row r="55" customFormat="false" ht="15" hidden="false" customHeight="false" outlineLevel="0" collapsed="false">
      <c r="A55" s="4" t="s">
        <v>501</v>
      </c>
      <c r="B55" s="4" t="n">
        <v>2011</v>
      </c>
      <c r="C55" s="4" t="n">
        <v>1.78</v>
      </c>
    </row>
    <row r="56" customFormat="false" ht="15" hidden="false" customHeight="false" outlineLevel="0" collapsed="false">
      <c r="A56" s="4" t="s">
        <v>501</v>
      </c>
      <c r="B56" s="4" t="n">
        <v>2012</v>
      </c>
      <c r="C56" s="4" t="n">
        <v>1.71</v>
      </c>
    </row>
    <row r="57" customFormat="false" ht="15" hidden="false" customHeight="false" outlineLevel="0" collapsed="false">
      <c r="A57" s="4" t="s">
        <v>501</v>
      </c>
      <c r="B57" s="4" t="n">
        <v>2013</v>
      </c>
      <c r="C57" s="4" t="n">
        <v>1.65</v>
      </c>
    </row>
    <row r="58" customFormat="false" ht="15" hidden="false" customHeight="false" outlineLevel="0" collapsed="false">
      <c r="A58" s="4" t="s">
        <v>501</v>
      </c>
      <c r="B58" s="4" t="n">
        <v>2014</v>
      </c>
      <c r="C58" s="4" t="n">
        <v>1.63</v>
      </c>
    </row>
    <row r="59" customFormat="false" ht="15" hidden="false" customHeight="false" outlineLevel="0" collapsed="false">
      <c r="A59" s="4" t="s">
        <v>501</v>
      </c>
      <c r="B59" s="4" t="n">
        <v>2015</v>
      </c>
      <c r="C59" s="4" t="n">
        <v>1.75</v>
      </c>
    </row>
    <row r="60" customFormat="false" ht="15" hidden="false" customHeight="false" outlineLevel="0" collapsed="false">
      <c r="A60" s="4" t="s">
        <v>501</v>
      </c>
      <c r="B60" s="4" t="n">
        <v>2016</v>
      </c>
      <c r="C60" s="4" t="n">
        <v>2.04</v>
      </c>
    </row>
    <row r="61" customFormat="false" ht="15" hidden="false" customHeight="false" outlineLevel="0" collapsed="false">
      <c r="A61" s="4" t="s">
        <v>501</v>
      </c>
      <c r="B61" s="4" t="n">
        <v>2017</v>
      </c>
      <c r="C61" s="4" t="n">
        <v>1.86</v>
      </c>
    </row>
    <row r="62" customFormat="false" ht="15" hidden="false" customHeight="false" outlineLevel="0" collapsed="false">
      <c r="A62" s="4" t="s">
        <v>501</v>
      </c>
      <c r="B62" s="4" t="n">
        <v>2018</v>
      </c>
      <c r="C62" s="4" t="n">
        <v>1.8</v>
      </c>
    </row>
    <row r="63" customFormat="false" ht="15" hidden="false" customHeight="false" outlineLevel="0" collapsed="false">
      <c r="A63" s="4" t="s">
        <v>501</v>
      </c>
      <c r="B63" s="4" t="n">
        <v>2019</v>
      </c>
      <c r="C63" s="4" t="n">
        <v>1.86</v>
      </c>
    </row>
    <row r="64" customFormat="false" ht="15" hidden="false" customHeight="false" outlineLevel="0" collapsed="false">
      <c r="A64" s="4" t="s">
        <v>501</v>
      </c>
      <c r="B64" s="4" t="n">
        <v>2020</v>
      </c>
      <c r="C64" s="4" t="n">
        <v>1.66</v>
      </c>
    </row>
    <row r="65" customFormat="false" ht="15" hidden="false" customHeight="false" outlineLevel="0" collapsed="false">
      <c r="A65" s="4" t="s">
        <v>501</v>
      </c>
      <c r="B65" s="4" t="n">
        <v>2021</v>
      </c>
      <c r="C65" s="4" t="n">
        <v>1.66</v>
      </c>
    </row>
    <row r="66" customFormat="false" ht="15" hidden="false" customHeight="false" outlineLevel="0" collapsed="false">
      <c r="A66" s="4" t="s">
        <v>501</v>
      </c>
      <c r="B66" s="4" t="n">
        <v>2022</v>
      </c>
      <c r="C66" s="4" t="n">
        <v>1.81</v>
      </c>
    </row>
    <row r="67" customFormat="false" ht="15" hidden="false" customHeight="false" outlineLevel="0" collapsed="false">
      <c r="A67" s="4" t="s">
        <v>501</v>
      </c>
      <c r="B67" s="4" t="n">
        <v>2023</v>
      </c>
      <c r="C67" s="4" t="n">
        <v>1.78</v>
      </c>
    </row>
    <row r="68" customFormat="false" ht="15" hidden="false" customHeight="false" outlineLevel="0" collapsed="false">
      <c r="A68" s="4" t="s">
        <v>502</v>
      </c>
      <c r="B68" s="4" t="n">
        <v>2002</v>
      </c>
      <c r="C68" s="4" t="n">
        <v>1.56</v>
      </c>
    </row>
    <row r="69" customFormat="false" ht="15" hidden="false" customHeight="false" outlineLevel="0" collapsed="false">
      <c r="A69" s="4" t="s">
        <v>502</v>
      </c>
      <c r="B69" s="4" t="n">
        <v>2003</v>
      </c>
      <c r="C69" s="4" t="n">
        <v>1.64</v>
      </c>
    </row>
    <row r="70" customFormat="false" ht="15" hidden="false" customHeight="false" outlineLevel="0" collapsed="false">
      <c r="A70" s="4" t="s">
        <v>502</v>
      </c>
      <c r="B70" s="4" t="n">
        <v>2004</v>
      </c>
      <c r="C70" s="4" t="n">
        <v>1.69</v>
      </c>
    </row>
    <row r="71" customFormat="false" ht="15" hidden="false" customHeight="false" outlineLevel="0" collapsed="false">
      <c r="A71" s="4" t="s">
        <v>502</v>
      </c>
      <c r="B71" s="4" t="n">
        <v>2005</v>
      </c>
      <c r="C71" s="4" t="n">
        <v>1.48</v>
      </c>
    </row>
    <row r="72" customFormat="false" ht="15" hidden="false" customHeight="false" outlineLevel="0" collapsed="false">
      <c r="A72" s="4" t="s">
        <v>502</v>
      </c>
      <c r="B72" s="4" t="n">
        <v>2006</v>
      </c>
      <c r="C72" s="4" t="n">
        <v>1.36</v>
      </c>
    </row>
    <row r="73" customFormat="false" ht="15" hidden="false" customHeight="false" outlineLevel="0" collapsed="false">
      <c r="A73" s="4" t="s">
        <v>502</v>
      </c>
      <c r="B73" s="4" t="n">
        <v>2007</v>
      </c>
      <c r="C73" s="4" t="n">
        <v>1.4</v>
      </c>
    </row>
    <row r="74" customFormat="false" ht="15" hidden="false" customHeight="false" outlineLevel="0" collapsed="false">
      <c r="A74" s="4" t="s">
        <v>502</v>
      </c>
      <c r="B74" s="4" t="n">
        <v>2008</v>
      </c>
      <c r="C74" s="4" t="n">
        <v>1.4</v>
      </c>
    </row>
    <row r="75" customFormat="false" ht="15" hidden="false" customHeight="false" outlineLevel="0" collapsed="false">
      <c r="A75" s="4" t="s">
        <v>502</v>
      </c>
      <c r="B75" s="4" t="n">
        <v>2009</v>
      </c>
      <c r="C75" s="4" t="n">
        <v>1.31</v>
      </c>
    </row>
    <row r="76" customFormat="false" ht="15" hidden="false" customHeight="false" outlineLevel="0" collapsed="false">
      <c r="A76" s="4" t="s">
        <v>502</v>
      </c>
      <c r="B76" s="4" t="n">
        <v>2010</v>
      </c>
      <c r="C76" s="4" t="n">
        <v>1.19</v>
      </c>
    </row>
    <row r="77" customFormat="false" ht="15" hidden="false" customHeight="false" outlineLevel="0" collapsed="false">
      <c r="A77" s="4" t="s">
        <v>502</v>
      </c>
      <c r="B77" s="4" t="n">
        <v>2011</v>
      </c>
      <c r="C77" s="4" t="n">
        <v>1.04</v>
      </c>
    </row>
    <row r="78" customFormat="false" ht="15" hidden="false" customHeight="false" outlineLevel="0" collapsed="false">
      <c r="A78" s="4" t="s">
        <v>502</v>
      </c>
      <c r="B78" s="4" t="n">
        <v>2012</v>
      </c>
      <c r="C78" s="4" t="n">
        <v>0.99</v>
      </c>
    </row>
    <row r="79" customFormat="false" ht="15" hidden="false" customHeight="false" outlineLevel="0" collapsed="false">
      <c r="A79" s="4" t="s">
        <v>502</v>
      </c>
      <c r="B79" s="4" t="n">
        <v>2013</v>
      </c>
      <c r="C79" s="4" t="n">
        <v>0.96</v>
      </c>
    </row>
    <row r="80" customFormat="false" ht="15" hidden="false" customHeight="false" outlineLevel="0" collapsed="false">
      <c r="A80" s="4" t="s">
        <v>502</v>
      </c>
      <c r="B80" s="4" t="n">
        <v>2014</v>
      </c>
      <c r="C80" s="4" t="n">
        <v>0.96</v>
      </c>
    </row>
    <row r="81" customFormat="false" ht="15" hidden="false" customHeight="false" outlineLevel="0" collapsed="false">
      <c r="A81" s="4" t="s">
        <v>502</v>
      </c>
      <c r="B81" s="4" t="n">
        <v>2015</v>
      </c>
      <c r="C81" s="4" t="n">
        <v>1.05</v>
      </c>
    </row>
    <row r="82" customFormat="false" ht="15" hidden="false" customHeight="false" outlineLevel="0" collapsed="false">
      <c r="A82" s="4" t="s">
        <v>502</v>
      </c>
      <c r="B82" s="4" t="n">
        <v>2016</v>
      </c>
      <c r="C82" s="4" t="n">
        <v>1.25</v>
      </c>
    </row>
    <row r="83" customFormat="false" ht="15" hidden="false" customHeight="false" outlineLevel="0" collapsed="false">
      <c r="A83" s="4" t="s">
        <v>502</v>
      </c>
      <c r="B83" s="4" t="n">
        <v>2017</v>
      </c>
      <c r="C83" s="4" t="n">
        <v>1.13</v>
      </c>
    </row>
    <row r="84" customFormat="false" ht="15" hidden="false" customHeight="false" outlineLevel="0" collapsed="false">
      <c r="A84" s="4" t="s">
        <v>502</v>
      </c>
      <c r="B84" s="4" t="n">
        <v>2018</v>
      </c>
      <c r="C84" s="4" t="n">
        <v>1.07</v>
      </c>
    </row>
    <row r="85" customFormat="false" ht="15" hidden="false" customHeight="false" outlineLevel="0" collapsed="false">
      <c r="A85" s="4" t="s">
        <v>502</v>
      </c>
      <c r="B85" s="4" t="n">
        <v>2019</v>
      </c>
      <c r="C85" s="4" t="n">
        <v>1.11</v>
      </c>
    </row>
    <row r="86" customFormat="false" ht="15" hidden="false" customHeight="false" outlineLevel="0" collapsed="false">
      <c r="A86" s="4" t="s">
        <v>502</v>
      </c>
      <c r="B86" s="4" t="n">
        <v>2020</v>
      </c>
      <c r="C86" s="4" t="n">
        <v>1</v>
      </c>
    </row>
    <row r="87" customFormat="false" ht="15" hidden="false" customHeight="false" outlineLevel="0" collapsed="false">
      <c r="A87" s="4" t="s">
        <v>502</v>
      </c>
      <c r="B87" s="4" t="n">
        <v>2021</v>
      </c>
      <c r="C87" s="4" t="n">
        <v>0.96</v>
      </c>
    </row>
    <row r="88" customFormat="false" ht="15" hidden="false" customHeight="false" outlineLevel="0" collapsed="false">
      <c r="A88" s="4" t="s">
        <v>502</v>
      </c>
      <c r="B88" s="4" t="n">
        <v>2022</v>
      </c>
      <c r="C88" s="4" t="n">
        <v>1.05</v>
      </c>
    </row>
    <row r="89" customFormat="false" ht="15" hidden="false" customHeight="false" outlineLevel="0" collapsed="false">
      <c r="A89" s="4" t="s">
        <v>502</v>
      </c>
      <c r="B89" s="4" t="n">
        <v>2023</v>
      </c>
      <c r="C89" s="4" t="n">
        <v>1.06</v>
      </c>
    </row>
    <row r="90" customFormat="false" ht="15" hidden="false" customHeight="false" outlineLevel="0" collapsed="false">
      <c r="A90" s="4" t="s">
        <v>503</v>
      </c>
      <c r="B90" s="4" t="n">
        <v>2002</v>
      </c>
      <c r="C90" s="4" t="n">
        <v>0.9</v>
      </c>
    </row>
    <row r="91" customFormat="false" ht="15" hidden="false" customHeight="false" outlineLevel="0" collapsed="false">
      <c r="A91" s="4" t="s">
        <v>503</v>
      </c>
      <c r="B91" s="4" t="n">
        <v>2003</v>
      </c>
      <c r="C91" s="4" t="n">
        <v>0.92</v>
      </c>
    </row>
    <row r="92" customFormat="false" ht="15" hidden="false" customHeight="false" outlineLevel="0" collapsed="false">
      <c r="A92" s="4" t="s">
        <v>503</v>
      </c>
      <c r="B92" s="4" t="n">
        <v>2004</v>
      </c>
      <c r="C92" s="4" t="n">
        <v>0.95</v>
      </c>
    </row>
    <row r="93" customFormat="false" ht="15" hidden="false" customHeight="false" outlineLevel="0" collapsed="false">
      <c r="A93" s="4" t="s">
        <v>503</v>
      </c>
      <c r="B93" s="4" t="n">
        <v>2005</v>
      </c>
      <c r="C93" s="4" t="n">
        <v>0.85</v>
      </c>
    </row>
    <row r="94" customFormat="false" ht="15" hidden="false" customHeight="false" outlineLevel="0" collapsed="false">
      <c r="A94" s="4" t="s">
        <v>503</v>
      </c>
      <c r="B94" s="4" t="n">
        <v>2006</v>
      </c>
      <c r="C94" s="4" t="n">
        <v>0.79</v>
      </c>
    </row>
    <row r="95" customFormat="false" ht="15" hidden="false" customHeight="false" outlineLevel="0" collapsed="false">
      <c r="A95" s="4" t="s">
        <v>503</v>
      </c>
      <c r="B95" s="4" t="n">
        <v>2007</v>
      </c>
      <c r="C95" s="4" t="n">
        <v>0.8</v>
      </c>
    </row>
    <row r="96" customFormat="false" ht="15" hidden="false" customHeight="false" outlineLevel="0" collapsed="false">
      <c r="A96" s="4" t="s">
        <v>503</v>
      </c>
      <c r="B96" s="4" t="n">
        <v>2008</v>
      </c>
      <c r="C96" s="4" t="n">
        <v>0.8</v>
      </c>
    </row>
    <row r="97" customFormat="false" ht="15" hidden="false" customHeight="false" outlineLevel="0" collapsed="false">
      <c r="A97" s="4" t="s">
        <v>503</v>
      </c>
      <c r="B97" s="4" t="n">
        <v>2009</v>
      </c>
      <c r="C97" s="4" t="n">
        <v>0.74</v>
      </c>
    </row>
    <row r="98" customFormat="false" ht="15" hidden="false" customHeight="false" outlineLevel="0" collapsed="false">
      <c r="A98" s="4" t="s">
        <v>503</v>
      </c>
      <c r="B98" s="4" t="n">
        <v>2010</v>
      </c>
      <c r="C98" s="4" t="n">
        <v>0.67</v>
      </c>
    </row>
    <row r="99" customFormat="false" ht="15" hidden="false" customHeight="false" outlineLevel="0" collapsed="false">
      <c r="A99" s="4" t="s">
        <v>503</v>
      </c>
      <c r="B99" s="4" t="n">
        <v>2011</v>
      </c>
      <c r="C99" s="4" t="n">
        <v>0.58</v>
      </c>
    </row>
    <row r="100" customFormat="false" ht="15" hidden="false" customHeight="false" outlineLevel="0" collapsed="false">
      <c r="A100" s="4" t="s">
        <v>503</v>
      </c>
      <c r="B100" s="4" t="n">
        <v>2012</v>
      </c>
      <c r="C100" s="4" t="n">
        <v>0.55</v>
      </c>
    </row>
    <row r="101" customFormat="false" ht="15" hidden="false" customHeight="false" outlineLevel="0" collapsed="false">
      <c r="A101" s="4" t="s">
        <v>503</v>
      </c>
      <c r="B101" s="4" t="n">
        <v>2013</v>
      </c>
      <c r="C101" s="4" t="n">
        <v>0.53</v>
      </c>
    </row>
    <row r="102" customFormat="false" ht="15" hidden="false" customHeight="false" outlineLevel="0" collapsed="false">
      <c r="A102" s="4" t="s">
        <v>503</v>
      </c>
      <c r="B102" s="4" t="n">
        <v>2014</v>
      </c>
      <c r="C102" s="4" t="n">
        <v>0.53</v>
      </c>
    </row>
    <row r="103" customFormat="false" ht="15" hidden="false" customHeight="false" outlineLevel="0" collapsed="false">
      <c r="A103" s="4" t="s">
        <v>503</v>
      </c>
      <c r="B103" s="4" t="n">
        <v>2015</v>
      </c>
      <c r="C103" s="4" t="n">
        <v>0.57</v>
      </c>
    </row>
    <row r="104" customFormat="false" ht="15" hidden="false" customHeight="false" outlineLevel="0" collapsed="false">
      <c r="A104" s="4" t="s">
        <v>503</v>
      </c>
      <c r="B104" s="4" t="n">
        <v>2016</v>
      </c>
      <c r="C104" s="4" t="n">
        <v>0.66</v>
      </c>
    </row>
    <row r="105" customFormat="false" ht="15" hidden="false" customHeight="false" outlineLevel="0" collapsed="false">
      <c r="A105" s="4" t="s">
        <v>503</v>
      </c>
      <c r="B105" s="4" t="n">
        <v>2017</v>
      </c>
      <c r="C105" s="4" t="n">
        <v>0.6</v>
      </c>
    </row>
    <row r="106" customFormat="false" ht="15" hidden="false" customHeight="false" outlineLevel="0" collapsed="false">
      <c r="A106" s="4" t="s">
        <v>503</v>
      </c>
      <c r="B106" s="4" t="n">
        <v>2018</v>
      </c>
      <c r="C106" s="4" t="n">
        <v>0.57</v>
      </c>
    </row>
    <row r="107" customFormat="false" ht="15" hidden="false" customHeight="false" outlineLevel="0" collapsed="false">
      <c r="A107" s="4" t="s">
        <v>503</v>
      </c>
      <c r="B107" s="4" t="n">
        <v>2019</v>
      </c>
      <c r="C107" s="4" t="n">
        <v>0.59</v>
      </c>
    </row>
    <row r="108" customFormat="false" ht="15" hidden="false" customHeight="false" outlineLevel="0" collapsed="false">
      <c r="A108" s="4" t="s">
        <v>503</v>
      </c>
      <c r="B108" s="4" t="n">
        <v>2020</v>
      </c>
      <c r="C108" s="4" t="n">
        <v>0.52</v>
      </c>
    </row>
    <row r="109" customFormat="false" ht="15" hidden="false" customHeight="false" outlineLevel="0" collapsed="false">
      <c r="A109" s="4" t="s">
        <v>503</v>
      </c>
      <c r="B109" s="4" t="n">
        <v>2021</v>
      </c>
      <c r="C109" s="4" t="n">
        <v>0.5</v>
      </c>
    </row>
    <row r="110" customFormat="false" ht="15" hidden="false" customHeight="false" outlineLevel="0" collapsed="false">
      <c r="A110" s="4" t="s">
        <v>503</v>
      </c>
      <c r="B110" s="4" t="n">
        <v>2022</v>
      </c>
      <c r="C110" s="4" t="n">
        <v>0.56</v>
      </c>
    </row>
    <row r="111" customFormat="false" ht="15" hidden="false" customHeight="false" outlineLevel="0" collapsed="false">
      <c r="A111" s="4" t="s">
        <v>503</v>
      </c>
      <c r="B111" s="4" t="n">
        <v>2023</v>
      </c>
      <c r="C111" s="4" t="n">
        <v>0.56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40" t="s">
        <v>497</v>
      </c>
      <c r="B1" s="40" t="s">
        <v>504</v>
      </c>
      <c r="C1" s="40" t="s">
        <v>505</v>
      </c>
      <c r="D1" s="40" t="s">
        <v>506</v>
      </c>
      <c r="E1" s="40" t="s">
        <v>507</v>
      </c>
    </row>
    <row r="2" customFormat="false" ht="15" hidden="false" customHeight="false" outlineLevel="0" collapsed="false">
      <c r="A2" s="4" t="s">
        <v>508</v>
      </c>
      <c r="B2" s="25" t="n">
        <v>61394524000</v>
      </c>
      <c r="C2" s="4" t="s">
        <v>256</v>
      </c>
      <c r="D2" s="4" t="s">
        <v>509</v>
      </c>
      <c r="E2" s="4" t="s">
        <v>510</v>
      </c>
    </row>
    <row r="3" customFormat="false" ht="15" hidden="false" customHeight="false" outlineLevel="0" collapsed="false">
      <c r="A3" s="4" t="s">
        <v>350</v>
      </c>
      <c r="B3" s="25" t="n">
        <v>86361.08</v>
      </c>
      <c r="C3" s="4" t="s">
        <v>256</v>
      </c>
      <c r="D3" s="4" t="s">
        <v>509</v>
      </c>
      <c r="E3" s="4" t="s">
        <v>511</v>
      </c>
    </row>
    <row r="4" customFormat="false" ht="15" hidden="false" customHeight="false" outlineLevel="0" collapsed="false">
      <c r="A4" s="4" t="s">
        <v>512</v>
      </c>
      <c r="B4" s="25" t="n">
        <v>3.58</v>
      </c>
      <c r="C4" s="4" t="s">
        <v>283</v>
      </c>
      <c r="D4" s="4" t="s">
        <v>509</v>
      </c>
      <c r="E4" s="4" t="s">
        <v>513</v>
      </c>
    </row>
    <row r="5" customFormat="false" ht="15" hidden="false" customHeight="false" outlineLevel="0" collapsed="false">
      <c r="A5" s="4" t="s">
        <v>514</v>
      </c>
      <c r="B5" s="25" t="n">
        <v>2.03</v>
      </c>
      <c r="C5" s="4" t="s">
        <v>515</v>
      </c>
      <c r="D5" s="4" t="s">
        <v>516</v>
      </c>
      <c r="E5" s="4" t="s">
        <v>517</v>
      </c>
    </row>
    <row r="6" customFormat="false" ht="15" hidden="false" customHeight="false" outlineLevel="0" collapsed="false">
      <c r="A6" s="4" t="s">
        <v>518</v>
      </c>
      <c r="B6" s="25" t="n">
        <v>1.57</v>
      </c>
      <c r="C6" s="4" t="s">
        <v>515</v>
      </c>
      <c r="D6" s="4" t="s">
        <v>519</v>
      </c>
      <c r="E6" s="4" t="s">
        <v>517</v>
      </c>
    </row>
    <row r="7" customFormat="false" ht="15" hidden="false" customHeight="false" outlineLevel="0" collapsed="false">
      <c r="A7" s="4" t="s">
        <v>8</v>
      </c>
      <c r="B7" s="25" t="n">
        <v>1.78</v>
      </c>
      <c r="C7" s="4" t="s">
        <v>283</v>
      </c>
      <c r="D7" s="4" t="s">
        <v>509</v>
      </c>
      <c r="E7" s="4" t="s">
        <v>510</v>
      </c>
    </row>
    <row r="8" customFormat="false" ht="15" hidden="false" customHeight="false" outlineLevel="0" collapsed="false">
      <c r="A8" s="4" t="s">
        <v>503</v>
      </c>
      <c r="B8" s="25" t="n">
        <v>0.56</v>
      </c>
      <c r="C8" s="4" t="s">
        <v>283</v>
      </c>
      <c r="D8" s="4" t="s">
        <v>509</v>
      </c>
      <c r="E8" s="4" t="s">
        <v>510</v>
      </c>
    </row>
    <row r="9" customFormat="false" ht="15" hidden="false" customHeight="false" outlineLevel="0" collapsed="false">
      <c r="A9" s="4" t="s">
        <v>499</v>
      </c>
      <c r="B9" s="25" t="n">
        <v>48.85</v>
      </c>
      <c r="C9" s="4" t="s">
        <v>283</v>
      </c>
      <c r="D9" s="4" t="s">
        <v>509</v>
      </c>
      <c r="E9" s="4" t="s">
        <v>510</v>
      </c>
    </row>
    <row r="10" customFormat="false" ht="15" hidden="false" customHeight="false" outlineLevel="0" collapsed="false">
      <c r="A10" s="4" t="s">
        <v>520</v>
      </c>
      <c r="B10" s="25" t="n">
        <v>16459171000</v>
      </c>
      <c r="C10" s="4" t="s">
        <v>256</v>
      </c>
      <c r="D10" s="4" t="s">
        <v>521</v>
      </c>
      <c r="E10" s="4" t="s">
        <v>522</v>
      </c>
    </row>
    <row r="11" customFormat="false" ht="15" hidden="false" customHeight="false" outlineLevel="0" collapsed="false">
      <c r="A11" s="4" t="s">
        <v>523</v>
      </c>
      <c r="B11" s="25" t="n">
        <v>42.39</v>
      </c>
      <c r="C11" s="4" t="s">
        <v>283</v>
      </c>
      <c r="D11" s="4" t="s">
        <v>521</v>
      </c>
      <c r="E11" s="4" t="s">
        <v>522</v>
      </c>
    </row>
    <row r="12" customFormat="false" ht="15" hidden="false" customHeight="false" outlineLevel="0" collapsed="false">
      <c r="A12" s="4" t="s">
        <v>524</v>
      </c>
      <c r="B12" s="25" t="n">
        <v>50.11</v>
      </c>
      <c r="C12" s="4" t="s">
        <v>283</v>
      </c>
      <c r="D12" s="4" t="s">
        <v>521</v>
      </c>
      <c r="E12" s="4" t="s">
        <v>525</v>
      </c>
    </row>
    <row r="13" customFormat="false" ht="15" hidden="false" customHeight="false" outlineLevel="0" collapsed="false">
      <c r="A13" s="4" t="s">
        <v>526</v>
      </c>
      <c r="B13" s="25" t="n">
        <v>14.12</v>
      </c>
      <c r="C13" s="4" t="s">
        <v>283</v>
      </c>
      <c r="D13" s="4" t="s">
        <v>521</v>
      </c>
      <c r="E13" s="4" t="s">
        <v>527</v>
      </c>
    </row>
    <row r="14" customFormat="false" ht="15" hidden="false" customHeight="false" outlineLevel="0" collapsed="false">
      <c r="A14" s="4" t="s">
        <v>528</v>
      </c>
      <c r="B14" s="25" t="n">
        <v>-13.55</v>
      </c>
      <c r="C14" s="4" t="s">
        <v>283</v>
      </c>
      <c r="D14" s="4" t="s">
        <v>529</v>
      </c>
      <c r="E14" s="4" t="s">
        <v>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7"/>
  </cols>
  <sheetData>
    <row r="1" customFormat="false" ht="15" hidden="false" customHeight="false" outlineLevel="0" collapsed="false">
      <c r="A1" s="40" t="s">
        <v>531</v>
      </c>
      <c r="B1" s="40" t="s">
        <v>532</v>
      </c>
      <c r="C1" s="40" t="s">
        <v>533</v>
      </c>
    </row>
    <row r="2" customFormat="false" ht="15" hidden="false" customHeight="false" outlineLevel="0" collapsed="false">
      <c r="A2" s="4" t="s">
        <v>534</v>
      </c>
      <c r="B2" s="4" t="s">
        <v>535</v>
      </c>
      <c r="C2" s="4" t="s">
        <v>536</v>
      </c>
    </row>
    <row r="3" customFormat="false" ht="15" hidden="false" customHeight="false" outlineLevel="0" collapsed="false">
      <c r="A3" s="4" t="s">
        <v>537</v>
      </c>
      <c r="B3" s="4" t="s">
        <v>538</v>
      </c>
      <c r="C3" s="4" t="s">
        <v>539</v>
      </c>
    </row>
    <row r="4" customFormat="false" ht="15" hidden="false" customHeight="false" outlineLevel="0" collapsed="false">
      <c r="A4" s="4" t="s">
        <v>540</v>
      </c>
      <c r="B4" s="4" t="s">
        <v>541</v>
      </c>
      <c r="C4" s="4" t="s">
        <v>542</v>
      </c>
    </row>
    <row r="5" customFormat="false" ht="15" hidden="false" customHeight="false" outlineLevel="0" collapsed="false">
      <c r="A5" s="4" t="s">
        <v>543</v>
      </c>
      <c r="B5" s="4" t="s">
        <v>544</v>
      </c>
      <c r="C5" s="4" t="s">
        <v>536</v>
      </c>
    </row>
    <row r="6" customFormat="false" ht="15" hidden="false" customHeight="false" outlineLevel="0" collapsed="false">
      <c r="A6" s="4" t="s">
        <v>545</v>
      </c>
      <c r="B6" s="4" t="s">
        <v>546</v>
      </c>
      <c r="C6" s="4" t="s">
        <v>547</v>
      </c>
    </row>
    <row r="7" customFormat="false" ht="15" hidden="false" customHeight="false" outlineLevel="0" collapsed="false">
      <c r="A7" s="4" t="s">
        <v>548</v>
      </c>
      <c r="B7" s="4" t="s">
        <v>549</v>
      </c>
      <c r="C7" s="4" t="s">
        <v>550</v>
      </c>
    </row>
    <row r="8" customFormat="false" ht="15" hidden="false" customHeight="false" outlineLevel="0" collapsed="false">
      <c r="A8" s="4" t="s">
        <v>551</v>
      </c>
      <c r="B8" s="4" t="s">
        <v>552</v>
      </c>
      <c r="C8" s="4" t="s">
        <v>553</v>
      </c>
    </row>
    <row r="9" customFormat="false" ht="15" hidden="false" customHeight="false" outlineLevel="0" collapsed="false">
      <c r="A9" s="4" t="s">
        <v>554</v>
      </c>
      <c r="B9" s="4" t="s">
        <v>555</v>
      </c>
      <c r="C9" s="4" t="s">
        <v>556</v>
      </c>
    </row>
    <row r="10" customFormat="false" ht="15" hidden="false" customHeight="false" outlineLevel="0" collapsed="false">
      <c r="A10" s="4" t="s">
        <v>557</v>
      </c>
      <c r="B10" s="4" t="s">
        <v>558</v>
      </c>
      <c r="C10" s="4" t="s">
        <v>559</v>
      </c>
    </row>
    <row r="11" customFormat="false" ht="15" hidden="false" customHeight="false" outlineLevel="0" collapsed="false">
      <c r="A11" s="4" t="s">
        <v>560</v>
      </c>
      <c r="B11" s="4" t="s">
        <v>561</v>
      </c>
      <c r="C11" s="4"/>
    </row>
    <row r="12" customFormat="false" ht="15" hidden="false" customHeight="false" outlineLevel="0" collapsed="false">
      <c r="A12" s="4" t="s">
        <v>562</v>
      </c>
      <c r="B12" s="4" t="s">
        <v>563</v>
      </c>
      <c r="C12" s="4" t="s">
        <v>564</v>
      </c>
    </row>
    <row r="13" customFormat="false" ht="15" hidden="false" customHeight="false" outlineLevel="0" collapsed="false">
      <c r="A13" s="4" t="s">
        <v>565</v>
      </c>
      <c r="B13" s="4" t="s">
        <v>566</v>
      </c>
      <c r="C13" s="4" t="s">
        <v>567</v>
      </c>
    </row>
    <row r="14" customFormat="false" ht="15" hidden="false" customHeight="false" outlineLevel="0" collapsed="false">
      <c r="A14" s="4" t="s">
        <v>568</v>
      </c>
      <c r="B14" s="4" t="s">
        <v>569</v>
      </c>
      <c r="C14" s="4"/>
    </row>
    <row r="15" customFormat="false" ht="15" hidden="false" customHeight="false" outlineLevel="0" collapsed="false">
      <c r="A15" s="4" t="s">
        <v>570</v>
      </c>
      <c r="B15" s="4" t="s">
        <v>571</v>
      </c>
      <c r="C1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2026-10-12T18:33:38Z</dcterms:created>
  <dc:creator>openpyxl</dc:creator>
  <dc:description/>
  <dc:language>en-US</dc:language>
  <cp:lastModifiedBy/>
  <dcterms:modified xsi:type="dcterms:W3CDTF">2026-10-12T15:33:40Z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